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mihaihulubeac/VVSS_Lab/docs/Lab03/"/>
    </mc:Choice>
  </mc:AlternateContent>
  <xr:revisionPtr revIDLastSave="0" documentId="13_ncr:1_{1E22CFEC-F32A-5948-8A6E-C8B1BBBB2CC0}" xr6:coauthVersionLast="47" xr6:coauthVersionMax="47" xr10:uidLastSave="{00000000-0000-0000-0000-000000000000}"/>
  <bookViews>
    <workbookView xWindow="0" yWindow="780" windowWidth="17060" windowHeight="19760" tabRatio="500" activeTab="3" xr2:uid="{00000000-000D-0000-FFFF-FFFF00000000}"/>
  </bookViews>
  <sheets>
    <sheet name="Statement" sheetId="1" r:id="rId1"/>
    <sheet name="F02.CFG-Paths" sheetId="2" r:id="rId2"/>
    <sheet name="F02.TCs" sheetId="3" r:id="rId3"/>
    <sheet name="WBT-TCs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16" i="4" l="1"/>
  <c r="I16" i="4"/>
</calcChain>
</file>

<file path=xl/sharedStrings.xml><?xml version="1.0" encoding="utf-8"?>
<sst xmlns="http://schemas.openxmlformats.org/spreadsheetml/2006/main" count="202" uniqueCount="135">
  <si>
    <t>VVSS, Info Romana, 2025-2026</t>
  </si>
  <si>
    <t>Criteriile de acoperire la nivelul codului sursa sunt exemplificate pentru problema de mai jos. Studentii vor aplica aceeasi modalitate de lucru pentru proiectul primit in Lab01.</t>
  </si>
  <si>
    <t>[Unit WBT]</t>
  </si>
  <si>
    <t xml:space="preserve">Lab03. White-box Testing. Code Coverage </t>
  </si>
  <si>
    <t>Proiectaţi şi implementaţi o aplicaţie Java pentru rezolvarea problemei propuse. Se va evidenţia o arhitectură stratificată.</t>
  </si>
  <si>
    <t>Echipa</t>
  </si>
  <si>
    <t>Informaţiile vor fi preluate din fişiere text.</t>
  </si>
  <si>
    <t>Numele si prenumele</t>
  </si>
  <si>
    <t>Grupa</t>
  </si>
  <si>
    <t>Student 1:</t>
  </si>
  <si>
    <t>Stefan – Lucian Gramada</t>
  </si>
  <si>
    <t>Student 2:</t>
  </si>
  <si>
    <t>Hulubeac Mihai Alexandru</t>
  </si>
  <si>
    <t>1. Evidenţa filmelor din colecţia personală</t>
  </si>
  <si>
    <t>Student 3:</t>
  </si>
  <si>
    <t>Ioana-Sandu Andrei Valeriu</t>
  </si>
  <si>
    <t>Un cinefil doreşte să îşi dezvolte un program pentru gestionarea filmelor din colecţia personală. Programul va permite următoarele operaţii:</t>
  </si>
  <si>
    <r>
      <rPr>
        <b/>
        <sz val="11"/>
        <color rgb="FF000000"/>
        <rFont val="Calibri"/>
        <family val="2"/>
        <charset val="1"/>
      </rPr>
      <t>F02.</t>
    </r>
    <r>
      <rPr>
        <sz val="11"/>
        <color rgb="FF000000"/>
        <rFont val="Calibri"/>
        <family val="2"/>
        <charset val="1"/>
      </rPr>
      <t xml:space="preserve"> Generare Bon Fiscal</t>
    </r>
  </si>
  <si>
    <r>
      <rPr>
        <b/>
        <sz val="11"/>
        <color rgb="FF000000"/>
        <rFont val="Calibri"/>
        <family val="2"/>
        <charset val="1"/>
      </rPr>
      <t xml:space="preserve">F02. </t>
    </r>
    <r>
      <rPr>
        <sz val="11"/>
        <color rgb="FF000000"/>
        <rFont val="Calibri"/>
        <family val="2"/>
        <charset val="1"/>
      </rPr>
      <t>Generare Bon Fiscal</t>
    </r>
  </si>
  <si>
    <t xml:space="preserve">F02. Covered source code </t>
  </si>
  <si>
    <t>F02. Control Flow Graph (CFG)</t>
  </si>
  <si>
    <t>F02. Cyclomatic Complexity (CC)</t>
  </si>
  <si>
    <t>Line No.</t>
  </si>
  <si>
    <t>Source code</t>
  </si>
  <si>
    <t>CC1 = No. of regions =</t>
  </si>
  <si>
    <t>Req02_L01</t>
  </si>
  <si>
    <t>if(o == null) { throw new NullPointerException(); }</t>
  </si>
  <si>
    <t>CC2 = Edges - Nodes + 2 =</t>
  </si>
  <si>
    <t>15 – 12+ 2 = 5</t>
  </si>
  <si>
    <t>Req02_L02</t>
  </si>
  <si>
    <t>if(products == null) {
       Throw new NullPointerException();
}</t>
  </si>
  <si>
    <t>CC3 = No. of Conditions + 1 =</t>
  </si>
  <si>
    <t>Predicate+1</t>
  </si>
  <si>
    <t>4+ 1 = 5</t>
  </si>
  <si>
    <t>Req02_L03</t>
  </si>
  <si>
    <t xml:space="preserve">        StringBuilder sb = new StringBuilder();
        sb.append("===== BON FISCAL =====\n").append("Comanda #").append(o.getId()).append("\n");
        Map&lt;Integer, Product&gt; mapProducts = new HashMap&lt;Integer, Product&gt;();
</t>
  </si>
  <si>
    <t>Req02_L04</t>
  </si>
  <si>
    <t xml:space="preserve">      for(Product product : products) {
            mapProducts.put(product.getId(), product);
        }</t>
  </si>
  <si>
    <t>Req02_L05</t>
  </si>
  <si>
    <t xml:space="preserve">       for (OrderItem i : o.getItems()) {
            Product p = mapProducts.get(i.getProduct().getId());
            sb.append(p.getNume()).append(": ").append(p.getPret()).append(" x ").append(i.getQuantity()).append(" = ").append(i.getTotal()).append(" RON\n");
        }</t>
  </si>
  <si>
    <t>F02. Individual Paths</t>
  </si>
  <si>
    <t>Req02_L06</t>
  </si>
  <si>
    <t xml:space="preserve">        sb.append("---------------------\nTOTAL: ").append(o.getTotalPrice()).append(" RON\n=====================\n");
        return sb.toString();</t>
  </si>
  <si>
    <t>Path No.</t>
  </si>
  <si>
    <t>Path</t>
  </si>
  <si>
    <t>F02_P01</t>
  </si>
  <si>
    <t>1 - 2(F) – 12</t>
  </si>
  <si>
    <t>F02_P02</t>
  </si>
  <si>
    <t>1 - 2(T) – 3 – 4 (F) – 12</t>
  </si>
  <si>
    <t>F02_P03</t>
  </si>
  <si>
    <t>1 - 2(T) – 3 – 4 (T) – 5 – 6(F) – 8 – 9(F) - 11 - 12</t>
  </si>
  <si>
    <t>F02_P04</t>
  </si>
  <si>
    <t>1 - 2(T) – 3 – 4 (T) – 5 – 6(F) – 8 – 9(T) – 10 - 9(F) – 11 - 12</t>
  </si>
  <si>
    <t>F02_P05</t>
  </si>
  <si>
    <t>1 - 2(T) – 3 – 4 (T) – 5 – 6(T) – 7 - 6(F) – 8 – 9(F) - 11 - 12</t>
  </si>
  <si>
    <t>X</t>
  </si>
  <si>
    <t>TC No.</t>
  </si>
  <si>
    <t>Input</t>
  </si>
  <si>
    <t>Output</t>
  </si>
  <si>
    <t>Coverage</t>
  </si>
  <si>
    <t>Statement (sc)</t>
  </si>
  <si>
    <t>Condition/ decision (dc, cc, dcc, mcc)</t>
  </si>
  <si>
    <t>Path (apc)</t>
  </si>
  <si>
    <t>Loop (lc)</t>
  </si>
  <si>
    <t>Order o</t>
  </si>
  <si>
    <t>List&lt;Product&gt; products</t>
  </si>
  <si>
    <t>String bon</t>
  </si>
  <si>
    <t>o == null</t>
  </si>
  <si>
    <t>products == null</t>
  </si>
  <si>
    <t>product.isEmpty() == False</t>
  </si>
  <si>
    <t>order.isEmpty() = False</t>
  </si>
  <si>
    <t>n</t>
  </si>
  <si>
    <t>T</t>
  </si>
  <si>
    <t>F</t>
  </si>
  <si>
    <t>F02_TC01</t>
  </si>
  <si>
    <t>null</t>
  </si>
  <si>
    <t xml:space="preserve"> ---</t>
  </si>
  <si>
    <t>NullPointerException</t>
  </si>
  <si>
    <t xml:space="preserve">1, 2 </t>
  </si>
  <si>
    <t>F02_TC02</t>
  </si>
  <si>
    <t>Not null</t>
  </si>
  <si>
    <t>1, 3, 4</t>
  </si>
  <si>
    <t>F02_TC03</t>
  </si>
  <si>
    <t>n order items</t>
  </si>
  <si>
    <t>m product</t>
  </si>
  <si>
    <t>bon</t>
  </si>
  <si>
    <t>1, 3, 5, 6, 7, 8, 9, 10</t>
  </si>
  <si>
    <t>F02_TC04</t>
  </si>
  <si>
    <t>0 order items</t>
  </si>
  <si>
    <t>0 products</t>
  </si>
  <si>
    <t>1, 3, 5, 6, 8, 10</t>
  </si>
  <si>
    <t>WBT Implemented TCs</t>
  </si>
  <si>
    <t>Final        TC No.</t>
  </si>
  <si>
    <t>Req. ID</t>
  </si>
  <si>
    <t>TC No</t>
  </si>
  <si>
    <t>input data</t>
  </si>
  <si>
    <t>output data</t>
  </si>
  <si>
    <t>…</t>
  </si>
  <si>
    <t>expected</t>
  </si>
  <si>
    <t>actual result</t>
  </si>
  <si>
    <t>F02</t>
  </si>
  <si>
    <t>Statistics</t>
  </si>
  <si>
    <t>Testare</t>
  </si>
  <si>
    <t>Depanare</t>
  </si>
  <si>
    <t>Re-testare</t>
  </si>
  <si>
    <t>Testare de regresie</t>
  </si>
  <si>
    <t>#TCs run</t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</si>
  <si>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</si>
  <si>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FF0000"/>
        <rFont val="Calibri"/>
        <family val="2"/>
        <charset val="1"/>
      </rPr>
      <t>falied</t>
    </r>
  </si>
  <si>
    <r>
      <rPr>
        <b/>
        <sz val="11"/>
        <color theme="1"/>
        <rFont val="Calibri"/>
        <family val="2"/>
        <charset val="1"/>
      </rPr>
      <t>Coverage (%)</t>
    </r>
    <r>
      <rPr>
        <b/>
        <i/>
        <sz val="8"/>
        <color rgb="FF000000"/>
        <rFont val="Calibri"/>
        <family val="2"/>
        <charset val="1"/>
      </rPr>
      <t>[se va prelua valoarea indicata in raportul de acoperire pentru metoda testata]</t>
    </r>
  </si>
  <si>
    <r>
      <rPr>
        <b/>
        <sz val="11"/>
        <color theme="1"/>
        <rFont val="Calibri"/>
        <family val="2"/>
        <charset val="1"/>
      </rPr>
      <t xml:space="preserve">#Bugs </t>
    </r>
    <r>
      <rPr>
        <b/>
        <i/>
        <sz val="8"/>
        <color rgb="FF000000"/>
        <rFont val="Calibri"/>
        <family val="2"/>
        <charset val="1"/>
      </rPr>
      <t>[se va indica numarul de bug-uri identificate prin depanare, la nivelul metodei testate]</t>
    </r>
  </si>
  <si>
    <r>
      <rPr>
        <b/>
        <sz val="11"/>
        <color theme="1"/>
        <rFont val="Calibri"/>
        <family val="2"/>
        <charset val="1"/>
      </rPr>
      <t xml:space="preserve">#Bugs Fixed </t>
    </r>
    <r>
      <rPr>
        <b/>
        <i/>
        <sz val="8"/>
        <color rgb="FF000000"/>
        <rFont val="Calibri"/>
        <family val="2"/>
        <charset val="1"/>
      </rPr>
      <t>[se va completa cu 'da' dupa depanare]</t>
    </r>
  </si>
  <si>
    <r>
      <rPr>
        <b/>
        <sz val="11"/>
        <color rgb="FF000000"/>
        <rFont val="Calibri"/>
        <family val="2"/>
        <charset val="1"/>
      </rPr>
      <t xml:space="preserve">Re-testare </t>
    </r>
    <r>
      <rPr>
        <i/>
        <sz val="8"/>
        <color rgb="FF000000"/>
        <rFont val="Calibri"/>
        <family val="2"/>
        <charset val="1"/>
      </rPr>
      <t>[se va completa cu 'da' dupa retestare]</t>
    </r>
  </si>
  <si>
    <r>
      <rPr>
        <b/>
        <sz val="11"/>
        <color theme="1"/>
        <rFont val="Calibri"/>
        <family val="2"/>
        <charset val="1"/>
      </rPr>
      <t xml:space="preserve">#TCs  </t>
    </r>
    <r>
      <rPr>
        <b/>
        <sz val="11"/>
        <color rgb="FFFF0000"/>
        <rFont val="Calibri"/>
        <family val="2"/>
        <charset val="1"/>
      </rPr>
      <t>failed</t>
    </r>
  </si>
  <si>
    <r>
      <rPr>
        <b/>
        <sz val="11"/>
        <color theme="1"/>
        <rFont val="Calibri"/>
        <family val="2"/>
        <charset val="1"/>
      </rPr>
      <t xml:space="preserve">Coverage (%) </t>
    </r>
    <r>
      <rPr>
        <b/>
        <i/>
        <sz val="8"/>
        <color rgb="FF000000"/>
        <rFont val="Calibri"/>
        <family val="2"/>
        <charset val="1"/>
      </rPr>
      <t>[se va prelua valoarea indicata in raportul de acoperire pentru metoda testata]</t>
    </r>
  </si>
  <si>
    <r>
      <rPr>
        <b/>
        <sz val="11"/>
        <color theme="1"/>
        <rFont val="Calibri"/>
        <family val="2"/>
        <charset val="1"/>
      </rPr>
      <t xml:space="preserve">Testare de regresie </t>
    </r>
    <r>
      <rPr>
        <b/>
        <i/>
        <sz val="8"/>
        <color rgb="FF000000"/>
        <rFont val="Calibri"/>
        <family val="2"/>
        <charset val="1"/>
      </rPr>
      <t>[se va completa cu 'da' dupa testarea de regresie]</t>
    </r>
  </si>
  <si>
    <r>
      <rPr>
        <b/>
        <sz val="11"/>
        <color theme="1"/>
        <rFont val="Calibri"/>
        <family val="2"/>
        <charset val="1"/>
      </rPr>
      <t xml:space="preserve">#TCs </t>
    </r>
    <r>
      <rPr>
        <b/>
        <sz val="11"/>
        <color rgb="FF008000"/>
        <rFont val="Calibri"/>
        <family val="2"/>
        <charset val="1"/>
      </rPr>
      <t>passed</t>
    </r>
    <r>
      <rPr>
        <b/>
        <sz val="11"/>
        <color rgb="FF000000"/>
        <rFont val="Calibri"/>
        <family val="2"/>
        <charset val="1"/>
      </rPr>
      <t xml:space="preserve"> </t>
    </r>
    <r>
      <rPr>
        <b/>
        <i/>
        <sz val="8"/>
        <color rgb="FF000000"/>
        <rFont val="Calibri"/>
        <family val="2"/>
        <charset val="1"/>
      </rPr>
      <t>[de executat in testarea de regresie]</t>
    </r>
  </si>
  <si>
    <t>nu</t>
  </si>
  <si>
    <t>[Product(id=1, "Cafea", 3.5)]</t>
  </si>
  <si>
    <t>Input 1 (Order o.id)</t>
  </si>
  <si>
    <t xml:space="preserve">Input 2 (Order.items)	</t>
  </si>
  <si>
    <t xml:space="preserve">Input 3 (Order.totalPrice)	</t>
  </si>
  <si>
    <t xml:space="preserve">Input 4 (List&lt;Product&gt;)	</t>
  </si>
  <si>
    <t>F02_TC05</t>
  </si>
  <si>
    <t>F02_TC06</t>
  </si>
  <si>
    <t>[OrderItem(Cafea, qty=1), OrderItem(CafeaCuLapte, qty=1)]</t>
  </si>
  <si>
    <t>[OrderItem(Cafea id=1, qty=2)]</t>
  </si>
  <si>
    <t>[]</t>
  </si>
  <si>
    <t>[OrderItem(Cafea id=1, qty=1), OrderItem(CafeaCuLapte id=-1, qty=1)]</t>
  </si>
  <si>
    <t>[Product(id=1, "Cafea", 3.5)] (id=-1 missing)</t>
  </si>
  <si>
    <t>NuNullPointerExcepti</t>
  </si>
  <si>
    <t>—	NullPointerException</t>
  </si>
  <si>
    <t>"===== BON FISCAL =====\nComanda #5\nCafea: 3.5 x 2 = 7.0 RON\n---------------------\nTOTAL: 7.0 RON\n=====================\n"</t>
  </si>
  <si>
    <t>"===== BON FISCAL =====\nComanda #5\n---------------------\nTOTAL: 0.0 RON\n=====================\n"</t>
  </si>
  <si>
    <t>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</si>
</sst>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19" x14ac:knownFonts="1">
    <font>
      <sz val="11"/>
      <color theme="1"/>
      <name val="Calibri"/>
      <family val="2"/>
      <charset val="1"/>
    </font>
    <font>
      <i/>
      <sz val="9"/>
      <color rgb="FFC0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color theme="1"/>
      <name val="Calibri"/>
      <family val="2"/>
      <charset val="1"/>
    </font>
    <font>
      <b/>
      <i/>
      <sz val="9"/>
      <color rgb="FFFF0000"/>
      <name val="Calibri"/>
      <family val="2"/>
      <charset val="1"/>
    </font>
    <font>
      <sz val="12"/>
      <color theme="1"/>
      <name val="Calibri"/>
      <family val="2"/>
    </font>
    <font>
      <b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b/>
      <sz val="11"/>
      <color rgb="FF008000"/>
      <name val="Calibri"/>
      <family val="2"/>
      <charset val="1"/>
    </font>
    <font>
      <b/>
      <i/>
      <sz val="8"/>
      <color rgb="FF000000"/>
      <name val="Calibri"/>
      <family val="2"/>
      <charset val="1"/>
    </font>
    <font>
      <i/>
      <sz val="8"/>
      <color rgb="FF000000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name val="Calibri"/>
      <family val="2"/>
      <charset val="1"/>
    </font>
    <font>
      <sz val="8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3" tint="0.79989013336588644"/>
        <bgColor rgb="FFDBEEF4"/>
      </patternFill>
    </fill>
    <fill>
      <patternFill patternType="solid">
        <fgColor theme="0" tint="-4.9989318521683403E-2"/>
        <bgColor rgb="FFEAF1DD"/>
      </patternFill>
    </fill>
    <fill>
      <patternFill patternType="solid">
        <fgColor theme="9" tint="0.79989013336588644"/>
        <bgColor rgb="FFF2F2F2"/>
      </patternFill>
    </fill>
    <fill>
      <patternFill patternType="solid">
        <fgColor theme="8" tint="0.79989013336588644"/>
        <bgColor rgb="FFEAF1DD"/>
      </patternFill>
    </fill>
    <fill>
      <patternFill patternType="solid">
        <fgColor theme="5" tint="0.79989013336588644"/>
        <bgColor rgb="FFFDEADA"/>
      </patternFill>
    </fill>
    <fill>
      <patternFill patternType="solid">
        <fgColor rgb="FFEAF1DD"/>
        <bgColor rgb="FFF2F2F2"/>
      </patternFill>
    </fill>
    <fill>
      <patternFill patternType="solid">
        <fgColor theme="7" tint="0.59987182226020086"/>
        <bgColor rgb="FFE6B9B8"/>
      </patternFill>
    </fill>
    <fill>
      <patternFill patternType="solid">
        <fgColor theme="6" tint="0.59987182226020086"/>
        <bgColor rgb="FFEAF1DD"/>
      </patternFill>
    </fill>
    <fill>
      <patternFill patternType="solid">
        <fgColor rgb="FF99FFCC"/>
        <bgColor rgb="FFC6D9F1"/>
      </patternFill>
    </fill>
    <fill>
      <patternFill patternType="solid">
        <fgColor rgb="FFFFFF99"/>
        <bgColor rgb="FFFDEADA"/>
      </patternFill>
    </fill>
  </fills>
  <borders count="3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/>
      <diagonal/>
    </border>
    <border>
      <left style="double">
        <color auto="1"/>
      </left>
      <right style="double">
        <color auto="1"/>
      </right>
      <top style="thin">
        <color auto="1"/>
      </top>
      <bottom/>
      <diagonal/>
    </border>
    <border>
      <left style="double">
        <color auto="1"/>
      </left>
      <right style="double">
        <color auto="1"/>
      </right>
      <top/>
      <bottom style="thin">
        <color auto="1"/>
      </bottom>
      <diagonal/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/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0" fillId="0" borderId="1" xfId="0" applyBorder="1" applyAlignment="1">
      <alignment horizontal="left" wrapText="1"/>
    </xf>
    <xf numFmtId="0" fontId="7" fillId="0" borderId="1" xfId="0" applyFont="1" applyBorder="1" applyAlignment="1">
      <alignment horizontal="left" wrapText="1"/>
    </xf>
    <xf numFmtId="0" fontId="7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2" fillId="3" borderId="1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10" fillId="0" borderId="1" xfId="0" applyFont="1" applyBorder="1" applyAlignment="1">
      <alignment horizontal="left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1" fillId="0" borderId="0" xfId="0" applyFont="1"/>
    <xf numFmtId="0" fontId="3" fillId="0" borderId="0" xfId="0" applyFont="1"/>
    <xf numFmtId="0" fontId="2" fillId="0" borderId="0" xfId="0" applyFont="1"/>
    <xf numFmtId="0" fontId="4" fillId="0" borderId="2" xfId="0" applyFont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5" fillId="0" borderId="0" xfId="0" applyFont="1"/>
    <xf numFmtId="0" fontId="2" fillId="3" borderId="1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0" xfId="0" applyAlignment="1">
      <alignment horizontal="center"/>
    </xf>
    <xf numFmtId="0" fontId="8" fillId="0" borderId="0" xfId="0" applyFont="1"/>
    <xf numFmtId="0" fontId="0" fillId="0" borderId="0" xfId="0" applyAlignment="1">
      <alignment vertical="center"/>
    </xf>
    <xf numFmtId="0" fontId="10" fillId="5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11" fillId="4" borderId="1" xfId="0" applyFont="1" applyFill="1" applyBorder="1" applyAlignment="1">
      <alignment vertical="center" wrapText="1"/>
    </xf>
    <xf numFmtId="164" fontId="11" fillId="5" borderId="1" xfId="0" applyNumberFormat="1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vertical="center" wrapText="1"/>
    </xf>
    <xf numFmtId="0" fontId="11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2" fillId="0" borderId="0" xfId="0" applyFont="1"/>
    <xf numFmtId="0" fontId="0" fillId="11" borderId="1" xfId="0" applyFill="1" applyBorder="1"/>
    <xf numFmtId="0" fontId="0" fillId="11" borderId="15" xfId="0" applyFill="1" applyBorder="1"/>
    <xf numFmtId="0" fontId="16" fillId="11" borderId="13" xfId="0" applyFont="1" applyFill="1" applyBorder="1"/>
    <xf numFmtId="0" fontId="17" fillId="11" borderId="14" xfId="0" applyFont="1" applyFill="1" applyBorder="1"/>
    <xf numFmtId="0" fontId="0" fillId="11" borderId="3" xfId="0" applyFill="1" applyBorder="1"/>
    <xf numFmtId="0" fontId="0" fillId="10" borderId="15" xfId="0" applyFill="1" applyBorder="1"/>
    <xf numFmtId="0" fontId="16" fillId="11" borderId="14" xfId="0" applyFont="1" applyFill="1" applyBorder="1" applyAlignment="1">
      <alignment horizontal="center"/>
    </xf>
    <xf numFmtId="0" fontId="0" fillId="11" borderId="16" xfId="0" applyFill="1" applyBorder="1"/>
    <xf numFmtId="0" fontId="9" fillId="0" borderId="1" xfId="0" applyFont="1" applyBorder="1" applyAlignment="1">
      <alignment horizontal="left" wrapText="1"/>
    </xf>
    <xf numFmtId="0" fontId="2" fillId="8" borderId="1" xfId="0" applyFont="1" applyFill="1" applyBorder="1" applyAlignment="1">
      <alignment horizontal="center"/>
    </xf>
    <xf numFmtId="0" fontId="2" fillId="0" borderId="6" xfId="0" applyFont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10" borderId="18" xfId="0" applyFont="1" applyFill="1" applyBorder="1" applyAlignment="1">
      <alignment horizontal="center" vertical="center" wrapText="1"/>
    </xf>
    <xf numFmtId="0" fontId="2" fillId="10" borderId="12" xfId="0" applyFont="1" applyFill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5" fillId="0" borderId="20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2" fillId="10" borderId="19" xfId="0" applyFont="1" applyFill="1" applyBorder="1" applyAlignment="1">
      <alignment horizontal="center" vertical="center" wrapText="1"/>
    </xf>
    <xf numFmtId="0" fontId="2" fillId="10" borderId="6" xfId="0" applyFont="1" applyFill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 wrapText="1"/>
    </xf>
    <xf numFmtId="0" fontId="2" fillId="9" borderId="24" xfId="0" applyFont="1" applyFill="1" applyBorder="1" applyAlignment="1">
      <alignment horizontal="center" vertical="center"/>
    </xf>
    <xf numFmtId="0" fontId="2" fillId="9" borderId="25" xfId="0" applyFont="1" applyFill="1" applyBorder="1" applyAlignment="1">
      <alignment horizontal="center" vertical="center"/>
    </xf>
    <xf numFmtId="0" fontId="2" fillId="8" borderId="26" xfId="0" applyFont="1" applyFill="1" applyBorder="1" applyAlignment="1">
      <alignment horizontal="center" vertical="center"/>
    </xf>
    <xf numFmtId="0" fontId="2" fillId="8" borderId="27" xfId="0" applyFont="1" applyFill="1" applyBorder="1" applyAlignment="1">
      <alignment horizontal="center" vertical="center"/>
    </xf>
    <xf numFmtId="0" fontId="2" fillId="2" borderId="28" xfId="0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34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9" fontId="0" fillId="10" borderId="1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CC1DA"/>
      <rgbColor rgb="FF808080"/>
      <rgbColor rgb="FF9999FF"/>
      <rgbColor rgb="FF993366"/>
      <rgbColor rgb="FFEAF1DD"/>
      <rgbColor rgb="FFDBEEF4"/>
      <rgbColor rgb="FF660066"/>
      <rgbColor rgb="FFFF8080"/>
      <rgbColor rgb="FF0070C0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9FFCC"/>
      <rgbColor rgb="FFD7E4BD"/>
      <rgbColor rgb="FFFFFF99"/>
      <rgbColor rgb="FF8EB4E3"/>
      <rgbColor rgb="FFF2DCDB"/>
      <rgbColor rgb="FFFDEADA"/>
      <rgbColor rgb="FFE6B9B8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383760</xdr:colOff>
      <xdr:row>7</xdr:row>
      <xdr:rowOff>23760</xdr:rowOff>
    </xdr:from>
    <xdr:to>
      <xdr:col>13</xdr:col>
      <xdr:colOff>703440</xdr:colOff>
      <xdr:row>25</xdr:row>
      <xdr:rowOff>165240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15159600" y="1321560"/>
          <a:ext cx="3862800" cy="60825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1</xdr:col>
      <xdr:colOff>360</xdr:colOff>
      <xdr:row>15</xdr:row>
      <xdr:rowOff>111960</xdr:rowOff>
    </xdr:from>
    <xdr:to>
      <xdr:col>5</xdr:col>
      <xdr:colOff>15480</xdr:colOff>
      <xdr:row>40</xdr:row>
      <xdr:rowOff>69120</xdr:rowOff>
    </xdr:to>
    <xdr:pic>
      <xdr:nvPicPr>
        <xdr:cNvPr id="3" name="Image 1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709200" y="5541120"/>
          <a:ext cx="11955960" cy="4481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E6B9B8"/>
  </sheetPr>
  <dimension ref="B1:P20"/>
  <sheetViews>
    <sheetView zoomScaleNormal="100" workbookViewId="0">
      <selection activeCell="E12" activeCellId="1" sqref="B14:U15 E12"/>
    </sheetView>
  </sheetViews>
  <sheetFormatPr baseColWidth="10" defaultColWidth="8.83203125" defaultRowHeight="15" x14ac:dyDescent="0.2"/>
  <cols>
    <col min="15" max="15" width="23.5" customWidth="1"/>
  </cols>
  <sheetData>
    <row r="1" spans="2:16" x14ac:dyDescent="0.2">
      <c r="B1" s="15"/>
      <c r="D1" s="14" t="s">
        <v>0</v>
      </c>
      <c r="E1" s="14"/>
      <c r="F1" s="14"/>
      <c r="G1" s="14"/>
    </row>
    <row r="2" spans="2:16" x14ac:dyDescent="0.2">
      <c r="B2" s="16" t="s">
        <v>1</v>
      </c>
    </row>
    <row r="4" spans="2:16" x14ac:dyDescent="0.2">
      <c r="B4" s="17" t="s">
        <v>2</v>
      </c>
      <c r="N4" s="18" t="s">
        <v>3</v>
      </c>
      <c r="O4" s="18"/>
      <c r="P4" s="18"/>
    </row>
    <row r="5" spans="2:16" x14ac:dyDescent="0.2">
      <c r="B5" s="17" t="s">
        <v>4</v>
      </c>
      <c r="N5" s="19" t="s">
        <v>5</v>
      </c>
      <c r="O5" s="19"/>
      <c r="P5" s="19"/>
    </row>
    <row r="6" spans="2:16" x14ac:dyDescent="0.2">
      <c r="B6" s="17" t="s">
        <v>6</v>
      </c>
      <c r="N6" s="20"/>
      <c r="O6" s="20" t="s">
        <v>7</v>
      </c>
      <c r="P6" s="20" t="s">
        <v>8</v>
      </c>
    </row>
    <row r="7" spans="2:16" x14ac:dyDescent="0.2">
      <c r="B7" s="17"/>
      <c r="C7" s="17"/>
      <c r="D7" s="17"/>
      <c r="E7" s="17"/>
      <c r="N7" s="20" t="s">
        <v>9</v>
      </c>
      <c r="O7" s="20" t="s">
        <v>10</v>
      </c>
      <c r="P7" s="20">
        <v>233</v>
      </c>
    </row>
    <row r="8" spans="2:16" x14ac:dyDescent="0.2">
      <c r="B8" s="17"/>
      <c r="C8" s="17"/>
      <c r="D8" s="17"/>
      <c r="E8" s="17"/>
      <c r="N8" s="20" t="s">
        <v>11</v>
      </c>
      <c r="O8" s="20" t="s">
        <v>12</v>
      </c>
      <c r="P8" s="20">
        <v>233</v>
      </c>
    </row>
    <row r="9" spans="2:16" x14ac:dyDescent="0.2">
      <c r="B9" t="s">
        <v>13</v>
      </c>
      <c r="C9" s="17"/>
      <c r="D9" s="17"/>
      <c r="E9" s="17"/>
      <c r="N9" s="20" t="s">
        <v>14</v>
      </c>
      <c r="O9" s="20" t="s">
        <v>15</v>
      </c>
      <c r="P9" s="20">
        <v>233</v>
      </c>
    </row>
    <row r="10" spans="2:16" x14ac:dyDescent="0.2">
      <c r="B10" t="s">
        <v>16</v>
      </c>
      <c r="C10" s="17"/>
      <c r="D10" s="17"/>
      <c r="E10" s="17"/>
    </row>
    <row r="11" spans="2:16" x14ac:dyDescent="0.2">
      <c r="B11" s="21" t="s">
        <v>17</v>
      </c>
      <c r="C11" s="17"/>
      <c r="D11" s="17"/>
      <c r="E11" s="17"/>
    </row>
    <row r="12" spans="2:16" x14ac:dyDescent="0.2">
      <c r="C12" s="17"/>
      <c r="D12" s="17"/>
      <c r="E12" s="17"/>
    </row>
    <row r="19" spans="2:2" x14ac:dyDescent="0.2">
      <c r="B19" s="17"/>
    </row>
    <row r="20" spans="2:2" x14ac:dyDescent="0.2">
      <c r="B20" s="17"/>
    </row>
  </sheetData>
  <mergeCells count="1">
    <mergeCell ref="D1:G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C1DA"/>
  </sheetPr>
  <dimension ref="B1:T32"/>
  <sheetViews>
    <sheetView topLeftCell="G1" zoomScale="90" zoomScaleNormal="90" workbookViewId="0">
      <selection activeCell="G32" activeCellId="1" sqref="B14:U15 G32"/>
    </sheetView>
  </sheetViews>
  <sheetFormatPr baseColWidth="10" defaultColWidth="8.83203125" defaultRowHeight="15" x14ac:dyDescent="0.2"/>
  <cols>
    <col min="2" max="2" width="10" customWidth="1"/>
    <col min="5" max="5" width="121.5" customWidth="1"/>
    <col min="17" max="17" width="10.5" customWidth="1"/>
    <col min="20" max="20" width="27.1640625" customWidth="1"/>
  </cols>
  <sheetData>
    <row r="1" spans="2:20" x14ac:dyDescent="0.2">
      <c r="B1" s="15"/>
      <c r="D1" s="14" t="s">
        <v>0</v>
      </c>
      <c r="E1" s="14"/>
      <c r="F1" s="14"/>
      <c r="G1" s="14"/>
      <c r="H1" s="14"/>
      <c r="I1" s="14"/>
    </row>
    <row r="3" spans="2:20" x14ac:dyDescent="0.2">
      <c r="B3" s="13" t="s">
        <v>18</v>
      </c>
      <c r="C3" s="13"/>
      <c r="D3" s="13"/>
      <c r="E3" s="13"/>
      <c r="F3" s="13"/>
      <c r="G3" s="13"/>
      <c r="H3" s="13"/>
      <c r="I3" s="13"/>
      <c r="J3" s="13"/>
      <c r="K3" s="13"/>
    </row>
    <row r="6" spans="2:20" x14ac:dyDescent="0.2">
      <c r="B6" s="14" t="s">
        <v>19</v>
      </c>
      <c r="C6" s="14"/>
      <c r="D6" s="14"/>
      <c r="E6" s="14"/>
      <c r="I6" s="6" t="s">
        <v>20</v>
      </c>
      <c r="J6" s="6"/>
      <c r="K6" s="6"/>
      <c r="L6" s="6"/>
      <c r="M6" s="6"/>
      <c r="N6" s="6"/>
      <c r="O6" s="6"/>
      <c r="Q6" s="6" t="s">
        <v>21</v>
      </c>
      <c r="R6" s="6"/>
      <c r="S6" s="6"/>
      <c r="T6" s="6"/>
    </row>
    <row r="8" spans="2:20" x14ac:dyDescent="0.2">
      <c r="B8" s="22" t="s">
        <v>22</v>
      </c>
      <c r="C8" s="5" t="s">
        <v>23</v>
      </c>
      <c r="D8" s="5"/>
      <c r="E8" s="5"/>
      <c r="I8" s="15"/>
      <c r="Q8" s="4" t="s">
        <v>24</v>
      </c>
      <c r="R8" s="4"/>
      <c r="S8" s="4"/>
      <c r="T8" s="23">
        <v>5</v>
      </c>
    </row>
    <row r="9" spans="2:20" ht="24.5" customHeight="1" x14ac:dyDescent="0.2">
      <c r="B9" s="19" t="s">
        <v>25</v>
      </c>
      <c r="C9" s="3" t="s">
        <v>26</v>
      </c>
      <c r="D9" s="3"/>
      <c r="E9" s="3"/>
      <c r="F9" s="24"/>
      <c r="G9" s="24"/>
      <c r="I9" s="25"/>
      <c r="Q9" s="4" t="s">
        <v>27</v>
      </c>
      <c r="R9" s="4"/>
      <c r="S9" s="4"/>
      <c r="T9" s="23" t="s">
        <v>28</v>
      </c>
    </row>
    <row r="10" spans="2:20" ht="44.75" customHeight="1" x14ac:dyDescent="0.2">
      <c r="B10" s="19" t="s">
        <v>29</v>
      </c>
      <c r="C10" s="2" t="s">
        <v>30</v>
      </c>
      <c r="D10" s="2"/>
      <c r="E10" s="2"/>
      <c r="F10" s="24"/>
      <c r="G10" s="24"/>
      <c r="Q10" s="4" t="s">
        <v>31</v>
      </c>
      <c r="R10" s="4" t="s">
        <v>32</v>
      </c>
      <c r="S10" s="4"/>
      <c r="T10" s="23" t="s">
        <v>33</v>
      </c>
    </row>
    <row r="11" spans="2:20" ht="79.75" customHeight="1" x14ac:dyDescent="0.2">
      <c r="B11" s="19" t="s">
        <v>34</v>
      </c>
      <c r="C11" s="2" t="s">
        <v>35</v>
      </c>
      <c r="D11" s="2"/>
      <c r="E11" s="2"/>
      <c r="F11" s="24"/>
      <c r="G11" s="24"/>
    </row>
    <row r="12" spans="2:20" ht="46.75" customHeight="1" x14ac:dyDescent="0.2">
      <c r="B12" s="19" t="s">
        <v>36</v>
      </c>
      <c r="C12" s="1" t="s">
        <v>37</v>
      </c>
      <c r="D12" s="1"/>
      <c r="E12" s="1"/>
      <c r="F12" s="24"/>
      <c r="G12" s="24"/>
    </row>
    <row r="13" spans="2:20" ht="66.75" customHeight="1" x14ac:dyDescent="0.2">
      <c r="B13" s="19" t="s">
        <v>38</v>
      </c>
      <c r="C13" s="48" t="s">
        <v>39</v>
      </c>
      <c r="D13" s="48"/>
      <c r="E13" s="48"/>
      <c r="F13" s="24"/>
      <c r="G13" s="24"/>
      <c r="Q13" s="6" t="s">
        <v>40</v>
      </c>
      <c r="R13" s="6"/>
      <c r="S13" s="6"/>
      <c r="T13" s="6"/>
    </row>
    <row r="14" spans="2:20" ht="34.25" customHeight="1" x14ac:dyDescent="0.2">
      <c r="B14" s="19" t="s">
        <v>41</v>
      </c>
      <c r="C14" s="48" t="s">
        <v>42</v>
      </c>
      <c r="D14" s="48"/>
      <c r="E14" s="48"/>
      <c r="F14" s="24"/>
      <c r="G14" s="24"/>
    </row>
    <row r="15" spans="2:20" x14ac:dyDescent="0.2">
      <c r="Q15" s="22" t="s">
        <v>43</v>
      </c>
      <c r="R15" s="5" t="s">
        <v>44</v>
      </c>
      <c r="S15" s="5"/>
      <c r="T15" s="5"/>
    </row>
    <row r="16" spans="2:20" ht="14.25" customHeight="1" x14ac:dyDescent="0.2">
      <c r="Q16" s="19" t="s">
        <v>45</v>
      </c>
      <c r="R16" s="1" t="s">
        <v>46</v>
      </c>
      <c r="S16" s="1"/>
      <c r="T16" s="1"/>
    </row>
    <row r="17" spans="7:20" ht="14.25" customHeight="1" x14ac:dyDescent="0.2">
      <c r="Q17" s="19" t="s">
        <v>47</v>
      </c>
      <c r="R17" s="1" t="s">
        <v>48</v>
      </c>
      <c r="S17" s="1"/>
      <c r="T17" s="1"/>
    </row>
    <row r="18" spans="7:20" ht="14.25" customHeight="1" x14ac:dyDescent="0.2">
      <c r="Q18" s="19" t="s">
        <v>49</v>
      </c>
      <c r="R18" s="1" t="s">
        <v>50</v>
      </c>
      <c r="S18" s="1"/>
      <c r="T18" s="1"/>
    </row>
    <row r="19" spans="7:20" ht="14.25" customHeight="1" x14ac:dyDescent="0.2">
      <c r="Q19" s="19" t="s">
        <v>51</v>
      </c>
      <c r="R19" s="1" t="s">
        <v>52</v>
      </c>
      <c r="S19" s="1"/>
      <c r="T19" s="1"/>
    </row>
    <row r="20" spans="7:20" ht="14.25" customHeight="1" x14ac:dyDescent="0.2">
      <c r="Q20" s="19" t="s">
        <v>53</v>
      </c>
      <c r="R20" s="1" t="s">
        <v>54</v>
      </c>
      <c r="S20" s="1"/>
      <c r="T20" s="1"/>
    </row>
    <row r="32" spans="7:20" x14ac:dyDescent="0.2">
      <c r="G32" t="s">
        <v>55</v>
      </c>
    </row>
  </sheetData>
  <mergeCells count="22">
    <mergeCell ref="R20:T20"/>
    <mergeCell ref="R15:T15"/>
    <mergeCell ref="R16:T16"/>
    <mergeCell ref="R17:T17"/>
    <mergeCell ref="R18:T18"/>
    <mergeCell ref="R19:T19"/>
    <mergeCell ref="C11:E11"/>
    <mergeCell ref="C12:E12"/>
    <mergeCell ref="C13:E13"/>
    <mergeCell ref="Q13:T13"/>
    <mergeCell ref="C14:E14"/>
    <mergeCell ref="C8:E8"/>
    <mergeCell ref="Q8:S8"/>
    <mergeCell ref="C9:E9"/>
    <mergeCell ref="Q9:S9"/>
    <mergeCell ref="C10:E10"/>
    <mergeCell ref="Q10:S10"/>
    <mergeCell ref="D1:I1"/>
    <mergeCell ref="B3:K3"/>
    <mergeCell ref="B6:E6"/>
    <mergeCell ref="I6:O6"/>
    <mergeCell ref="Q6:T6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CC1DA"/>
  </sheetPr>
  <dimension ref="B1:U16"/>
  <sheetViews>
    <sheetView zoomScaleNormal="100" workbookViewId="0">
      <selection activeCell="D19" sqref="D19"/>
    </sheetView>
  </sheetViews>
  <sheetFormatPr baseColWidth="10" defaultColWidth="8.83203125" defaultRowHeight="15" x14ac:dyDescent="0.2"/>
  <cols>
    <col min="2" max="2" width="12.33203125" customWidth="1"/>
    <col min="3" max="3" width="18.1640625" customWidth="1"/>
    <col min="4" max="4" width="23.5" customWidth="1"/>
    <col min="5" max="5" width="21" customWidth="1"/>
    <col min="6" max="6" width="19.83203125" customWidth="1"/>
    <col min="7" max="7" width="8.1640625" customWidth="1"/>
    <col min="8" max="8" width="11.5" customWidth="1"/>
    <col min="9" max="9" width="11.1640625" customWidth="1"/>
    <col min="10" max="10" width="9.33203125" customWidth="1"/>
    <col min="11" max="11" width="14.5" customWidth="1"/>
    <col min="12" max="13" width="11.5" customWidth="1"/>
    <col min="14" max="14" width="11.1640625" customWidth="1"/>
    <col min="20" max="21" width="10" customWidth="1"/>
  </cols>
  <sheetData>
    <row r="1" spans="2:21" x14ac:dyDescent="0.2">
      <c r="B1" s="15"/>
      <c r="E1" s="14" t="s">
        <v>0</v>
      </c>
      <c r="F1" s="14"/>
      <c r="G1" s="14"/>
      <c r="H1" s="14"/>
    </row>
    <row r="3" spans="2:21" x14ac:dyDescent="0.2">
      <c r="B3" s="13" t="s">
        <v>18</v>
      </c>
      <c r="C3" s="13"/>
      <c r="D3" s="13"/>
      <c r="E3" s="13"/>
      <c r="F3" s="13"/>
      <c r="G3" s="13"/>
    </row>
    <row r="5" spans="2:21" x14ac:dyDescent="0.2">
      <c r="B5" s="26"/>
    </row>
    <row r="6" spans="2:21" ht="17.75" customHeight="1" x14ac:dyDescent="0.2">
      <c r="B6" s="12" t="s">
        <v>56</v>
      </c>
      <c r="C6" s="12" t="s">
        <v>57</v>
      </c>
      <c r="D6" s="12"/>
      <c r="E6" s="12" t="s">
        <v>58</v>
      </c>
      <c r="F6" s="12" t="s">
        <v>59</v>
      </c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</row>
    <row r="7" spans="2:21" ht="50" customHeight="1" x14ac:dyDescent="0.2">
      <c r="B7" s="12"/>
      <c r="C7" s="12"/>
      <c r="D7" s="12"/>
      <c r="E7" s="12"/>
      <c r="F7" s="11" t="s">
        <v>60</v>
      </c>
      <c r="G7" s="10" t="s">
        <v>61</v>
      </c>
      <c r="H7" s="10"/>
      <c r="I7" s="10"/>
      <c r="J7" s="10"/>
      <c r="K7" s="10"/>
      <c r="L7" s="10"/>
      <c r="M7" s="10"/>
      <c r="N7" s="10"/>
      <c r="O7" s="9" t="s">
        <v>62</v>
      </c>
      <c r="P7" s="9"/>
      <c r="Q7" s="9"/>
      <c r="R7" s="9"/>
      <c r="S7" s="9"/>
      <c r="T7" s="8" t="s">
        <v>63</v>
      </c>
      <c r="U7" s="8"/>
    </row>
    <row r="8" spans="2:21" ht="15" customHeight="1" x14ac:dyDescent="0.2">
      <c r="B8" s="12"/>
      <c r="C8" s="7" t="s">
        <v>64</v>
      </c>
      <c r="D8" s="7" t="s">
        <v>65</v>
      </c>
      <c r="E8" s="7" t="s">
        <v>66</v>
      </c>
      <c r="F8" s="11"/>
      <c r="G8" s="10" t="s">
        <v>67</v>
      </c>
      <c r="H8" s="10"/>
      <c r="I8" s="10" t="s">
        <v>68</v>
      </c>
      <c r="J8" s="10"/>
      <c r="K8" s="10" t="s">
        <v>69</v>
      </c>
      <c r="L8" s="10"/>
      <c r="M8" s="10" t="s">
        <v>70</v>
      </c>
      <c r="N8" s="10"/>
      <c r="O8" s="9" t="s">
        <v>45</v>
      </c>
      <c r="P8" s="9" t="s">
        <v>47</v>
      </c>
      <c r="Q8" s="9" t="s">
        <v>49</v>
      </c>
      <c r="R8" s="9" t="s">
        <v>51</v>
      </c>
      <c r="S8" s="9" t="s">
        <v>53</v>
      </c>
      <c r="T8" s="8">
        <v>0</v>
      </c>
      <c r="U8" s="8" t="s">
        <v>71</v>
      </c>
    </row>
    <row r="9" spans="2:21" ht="17" x14ac:dyDescent="0.2">
      <c r="B9" s="12"/>
      <c r="C9" s="7"/>
      <c r="D9" s="7"/>
      <c r="E9" s="7"/>
      <c r="F9" s="11"/>
      <c r="G9" s="27" t="s">
        <v>72</v>
      </c>
      <c r="H9" s="27" t="s">
        <v>73</v>
      </c>
      <c r="I9" s="27" t="s">
        <v>72</v>
      </c>
      <c r="J9" s="27" t="s">
        <v>73</v>
      </c>
      <c r="K9" s="27" t="s">
        <v>72</v>
      </c>
      <c r="L9" s="27" t="s">
        <v>73</v>
      </c>
      <c r="M9" s="27" t="s">
        <v>72</v>
      </c>
      <c r="N9" s="27" t="s">
        <v>73</v>
      </c>
      <c r="O9" s="9"/>
      <c r="P9" s="9"/>
      <c r="Q9" s="9"/>
      <c r="R9" s="9"/>
      <c r="S9" s="9"/>
      <c r="T9" s="8"/>
      <c r="U9" s="8"/>
    </row>
    <row r="10" spans="2:21" ht="17" x14ac:dyDescent="0.2">
      <c r="B10" s="28" t="s">
        <v>74</v>
      </c>
      <c r="C10" s="28" t="s">
        <v>75</v>
      </c>
      <c r="D10" s="28" t="s">
        <v>76</v>
      </c>
      <c r="E10" s="29" t="s">
        <v>77</v>
      </c>
      <c r="F10" s="30" t="s">
        <v>78</v>
      </c>
      <c r="G10" s="31" t="s">
        <v>55</v>
      </c>
      <c r="H10" s="32"/>
      <c r="I10" s="32"/>
      <c r="J10" s="32"/>
      <c r="K10" s="32"/>
      <c r="L10" s="32"/>
      <c r="M10" s="32"/>
      <c r="N10" s="32"/>
      <c r="O10" s="33" t="s">
        <v>55</v>
      </c>
      <c r="P10" s="33"/>
      <c r="Q10" s="33"/>
      <c r="R10" s="33"/>
      <c r="S10" s="33"/>
      <c r="T10" s="34" t="s">
        <v>55</v>
      </c>
      <c r="U10" s="34"/>
    </row>
    <row r="11" spans="2:21" ht="17" x14ac:dyDescent="0.2">
      <c r="B11" s="28" t="s">
        <v>79</v>
      </c>
      <c r="C11" s="28" t="s">
        <v>80</v>
      </c>
      <c r="D11" s="28" t="s">
        <v>75</v>
      </c>
      <c r="E11" s="29" t="s">
        <v>77</v>
      </c>
      <c r="F11" s="30" t="s">
        <v>81</v>
      </c>
      <c r="G11" s="32"/>
      <c r="H11" s="31" t="s">
        <v>55</v>
      </c>
      <c r="I11" s="31" t="s">
        <v>55</v>
      </c>
      <c r="J11" s="32"/>
      <c r="K11" s="32"/>
      <c r="L11" s="32"/>
      <c r="M11" s="32"/>
      <c r="N11" s="32"/>
      <c r="O11" s="33"/>
      <c r="P11" s="33" t="s">
        <v>55</v>
      </c>
      <c r="Q11" s="33"/>
      <c r="R11" s="33"/>
      <c r="S11" s="33"/>
      <c r="T11" s="34" t="s">
        <v>55</v>
      </c>
      <c r="U11" s="34"/>
    </row>
    <row r="12" spans="2:21" ht="17" x14ac:dyDescent="0.2">
      <c r="B12" s="28" t="s">
        <v>82</v>
      </c>
      <c r="C12" s="28" t="s">
        <v>83</v>
      </c>
      <c r="D12" s="28" t="s">
        <v>84</v>
      </c>
      <c r="E12" s="29" t="s">
        <v>85</v>
      </c>
      <c r="F12" s="30" t="s">
        <v>86</v>
      </c>
      <c r="G12" s="32"/>
      <c r="H12" s="31" t="s">
        <v>55</v>
      </c>
      <c r="I12" s="32"/>
      <c r="J12" s="32" t="s">
        <v>55</v>
      </c>
      <c r="K12" s="32" t="s">
        <v>55</v>
      </c>
      <c r="L12" s="32" t="s">
        <v>55</v>
      </c>
      <c r="M12" s="32" t="s">
        <v>55</v>
      </c>
      <c r="N12" s="32" t="s">
        <v>55</v>
      </c>
      <c r="O12" s="33"/>
      <c r="P12" s="33"/>
      <c r="Q12" s="33"/>
      <c r="R12" s="33" t="s">
        <v>55</v>
      </c>
      <c r="S12" s="33" t="s">
        <v>55</v>
      </c>
      <c r="T12" s="34"/>
      <c r="U12" s="34" t="s">
        <v>71</v>
      </c>
    </row>
    <row r="13" spans="2:21" ht="17" x14ac:dyDescent="0.2">
      <c r="B13" s="28" t="s">
        <v>87</v>
      </c>
      <c r="C13" s="28" t="s">
        <v>88</v>
      </c>
      <c r="D13" s="28" t="s">
        <v>89</v>
      </c>
      <c r="E13" s="29" t="s">
        <v>85</v>
      </c>
      <c r="F13" s="30" t="s">
        <v>90</v>
      </c>
      <c r="G13" s="32"/>
      <c r="H13" s="32" t="s">
        <v>55</v>
      </c>
      <c r="I13" s="32"/>
      <c r="J13" s="32" t="s">
        <v>55</v>
      </c>
      <c r="K13" s="32" t="s">
        <v>55</v>
      </c>
      <c r="L13" s="32"/>
      <c r="M13" s="32" t="s">
        <v>55</v>
      </c>
      <c r="N13" s="32"/>
      <c r="O13" s="33"/>
      <c r="P13" s="33"/>
      <c r="Q13" s="33" t="s">
        <v>55</v>
      </c>
      <c r="R13" s="33"/>
      <c r="S13" s="33"/>
      <c r="T13" s="34" t="s">
        <v>55</v>
      </c>
      <c r="U13" s="34"/>
    </row>
    <row r="16" spans="2:21" ht="16" x14ac:dyDescent="0.2">
      <c r="B16" s="35"/>
    </row>
  </sheetData>
  <mergeCells count="24">
    <mergeCell ref="S8:S9"/>
    <mergeCell ref="T8:T9"/>
    <mergeCell ref="U8:U9"/>
    <mergeCell ref="M8:N8"/>
    <mergeCell ref="O8:O9"/>
    <mergeCell ref="P8:P9"/>
    <mergeCell ref="Q8:Q9"/>
    <mergeCell ref="R8:R9"/>
    <mergeCell ref="E1:H1"/>
    <mergeCell ref="B3:G3"/>
    <mergeCell ref="B6:B9"/>
    <mergeCell ref="C6:D7"/>
    <mergeCell ref="E6:E7"/>
    <mergeCell ref="F6:U6"/>
    <mergeCell ref="F7:F9"/>
    <mergeCell ref="G7:N7"/>
    <mergeCell ref="O7:S7"/>
    <mergeCell ref="T7:U7"/>
    <mergeCell ref="C8:C9"/>
    <mergeCell ref="D8:D9"/>
    <mergeCell ref="E8:E9"/>
    <mergeCell ref="G8:H8"/>
    <mergeCell ref="I8:J8"/>
    <mergeCell ref="K8:L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8EB4E3"/>
  </sheetPr>
  <dimension ref="B1:N16"/>
  <sheetViews>
    <sheetView tabSelected="1" topLeftCell="L3" zoomScale="125" zoomScaleNormal="100" workbookViewId="0">
      <selection activeCell="M20" sqref="M20"/>
    </sheetView>
  </sheetViews>
  <sheetFormatPr baseColWidth="10" defaultColWidth="8.83203125" defaultRowHeight="15" x14ac:dyDescent="0.2"/>
  <cols>
    <col min="3" max="3" width="7.1640625" customWidth="1"/>
    <col min="4" max="4" width="11.33203125" customWidth="1"/>
    <col min="5" max="5" width="24.5" bestFit="1" customWidth="1"/>
    <col min="6" max="6" width="56.6640625" bestFit="1" customWidth="1"/>
    <col min="7" max="7" width="21.33203125" bestFit="1" customWidth="1"/>
    <col min="8" max="8" width="35.33203125" bestFit="1" customWidth="1"/>
    <col min="10" max="10" width="6.5" bestFit="1" customWidth="1"/>
    <col min="11" max="12" width="106.33203125" bestFit="1" customWidth="1"/>
    <col min="13" max="13" width="16.1640625" customWidth="1"/>
    <col min="15" max="15" width="12.33203125" customWidth="1"/>
  </cols>
  <sheetData>
    <row r="1" spans="2:14" x14ac:dyDescent="0.2">
      <c r="B1" s="15"/>
      <c r="D1" s="14" t="s">
        <v>0</v>
      </c>
      <c r="E1" s="14"/>
      <c r="F1" s="14"/>
      <c r="G1" s="14"/>
    </row>
    <row r="3" spans="2:14" x14ac:dyDescent="0.2">
      <c r="B3" s="49" t="s">
        <v>91</v>
      </c>
      <c r="C3" s="49"/>
      <c r="D3" s="49"/>
      <c r="E3" s="49"/>
      <c r="F3" s="49"/>
      <c r="G3" s="49"/>
      <c r="H3" s="49"/>
      <c r="I3" s="49"/>
      <c r="J3" s="49"/>
      <c r="K3" s="49"/>
      <c r="L3" s="49"/>
    </row>
    <row r="4" spans="2:14" ht="14.25" customHeight="1" x14ac:dyDescent="0.2">
      <c r="B4" s="82" t="s">
        <v>92</v>
      </c>
      <c r="C4" s="73" t="s">
        <v>93</v>
      </c>
      <c r="D4" s="79" t="s">
        <v>94</v>
      </c>
      <c r="E4" s="76" t="s">
        <v>95</v>
      </c>
      <c r="F4" s="78"/>
      <c r="G4" s="78"/>
      <c r="H4" s="78"/>
      <c r="I4" s="78"/>
      <c r="J4" s="77"/>
      <c r="K4" s="76" t="s">
        <v>96</v>
      </c>
      <c r="L4" s="77"/>
    </row>
    <row r="5" spans="2:14" ht="16" thickBot="1" x14ac:dyDescent="0.25">
      <c r="B5" s="83"/>
      <c r="C5" s="81"/>
      <c r="D5" s="80"/>
      <c r="E5" s="37" t="s">
        <v>119</v>
      </c>
      <c r="F5" s="37" t="s">
        <v>120</v>
      </c>
      <c r="G5" s="37" t="s">
        <v>121</v>
      </c>
      <c r="H5" s="37" t="s">
        <v>122</v>
      </c>
      <c r="I5" s="74" t="s">
        <v>97</v>
      </c>
      <c r="J5" s="75"/>
      <c r="K5" s="37" t="s">
        <v>98</v>
      </c>
      <c r="L5" s="37" t="s">
        <v>99</v>
      </c>
    </row>
    <row r="6" spans="2:14" ht="16" thickTop="1" x14ac:dyDescent="0.2">
      <c r="B6" s="36">
        <v>9</v>
      </c>
      <c r="C6" s="84" t="s">
        <v>100</v>
      </c>
      <c r="D6" s="36" t="s">
        <v>74</v>
      </c>
      <c r="E6" s="36" t="s">
        <v>75</v>
      </c>
      <c r="F6" s="36" t="s">
        <v>97</v>
      </c>
      <c r="G6" s="36"/>
      <c r="H6" s="36" t="s">
        <v>97</v>
      </c>
      <c r="I6" s="36" t="s">
        <v>97</v>
      </c>
      <c r="J6" s="36"/>
      <c r="K6" s="36" t="s">
        <v>130</v>
      </c>
      <c r="L6" s="36" t="s">
        <v>77</v>
      </c>
    </row>
    <row r="7" spans="2:14" x14ac:dyDescent="0.2">
      <c r="B7" s="36">
        <v>10</v>
      </c>
      <c r="C7" s="85"/>
      <c r="D7" s="36" t="s">
        <v>79</v>
      </c>
      <c r="E7" s="36">
        <v>6</v>
      </c>
      <c r="F7" s="36" t="s">
        <v>125</v>
      </c>
      <c r="G7" s="36">
        <v>8</v>
      </c>
      <c r="H7" s="36" t="s">
        <v>75</v>
      </c>
      <c r="I7" s="36" t="s">
        <v>97</v>
      </c>
      <c r="J7" s="36"/>
      <c r="K7" s="36" t="s">
        <v>131</v>
      </c>
      <c r="L7" s="36" t="s">
        <v>77</v>
      </c>
    </row>
    <row r="8" spans="2:14" x14ac:dyDescent="0.2">
      <c r="B8" s="36">
        <v>11</v>
      </c>
      <c r="C8" s="85"/>
      <c r="D8" s="36" t="s">
        <v>82</v>
      </c>
      <c r="E8" s="36">
        <v>5</v>
      </c>
      <c r="F8" s="36" t="s">
        <v>126</v>
      </c>
      <c r="G8" s="36">
        <v>7</v>
      </c>
      <c r="H8" s="36" t="s">
        <v>118</v>
      </c>
      <c r="I8" s="36" t="s">
        <v>97</v>
      </c>
      <c r="J8" s="36"/>
      <c r="K8" s="36" t="s">
        <v>132</v>
      </c>
      <c r="L8" s="36" t="s">
        <v>132</v>
      </c>
    </row>
    <row r="9" spans="2:14" x14ac:dyDescent="0.2">
      <c r="B9" s="36">
        <v>12</v>
      </c>
      <c r="C9" s="85"/>
      <c r="D9" s="36" t="s">
        <v>87</v>
      </c>
      <c r="E9" s="36">
        <v>5</v>
      </c>
      <c r="F9" s="36" t="s">
        <v>127</v>
      </c>
      <c r="G9" s="36">
        <v>0</v>
      </c>
      <c r="H9" s="36" t="s">
        <v>127</v>
      </c>
      <c r="I9" s="36" t="s">
        <v>97</v>
      </c>
      <c r="J9" s="36"/>
      <c r="K9" s="36" t="s">
        <v>133</v>
      </c>
      <c r="L9" s="36" t="s">
        <v>133</v>
      </c>
    </row>
    <row r="10" spans="2:14" x14ac:dyDescent="0.2">
      <c r="B10" s="36">
        <v>13</v>
      </c>
      <c r="C10" s="85"/>
      <c r="D10" s="36" t="s">
        <v>123</v>
      </c>
      <c r="E10" s="36">
        <v>5</v>
      </c>
      <c r="F10" s="36" t="s">
        <v>127</v>
      </c>
      <c r="G10" s="36">
        <v>0</v>
      </c>
      <c r="H10" s="36" t="s">
        <v>118</v>
      </c>
      <c r="I10" s="36" t="s">
        <v>97</v>
      </c>
      <c r="J10" s="36"/>
      <c r="K10" s="36" t="s">
        <v>133</v>
      </c>
      <c r="L10" s="36" t="s">
        <v>133</v>
      </c>
    </row>
    <row r="11" spans="2:14" x14ac:dyDescent="0.2">
      <c r="B11" s="36">
        <v>14</v>
      </c>
      <c r="C11" s="50"/>
      <c r="D11" s="36" t="s">
        <v>124</v>
      </c>
      <c r="E11" s="36">
        <v>6</v>
      </c>
      <c r="F11" s="36" t="s">
        <v>128</v>
      </c>
      <c r="G11" s="36">
        <v>8</v>
      </c>
      <c r="H11" s="36" t="s">
        <v>129</v>
      </c>
      <c r="I11" s="36"/>
      <c r="J11" s="36"/>
      <c r="K11" s="36" t="s">
        <v>77</v>
      </c>
      <c r="L11" s="36" t="s">
        <v>77</v>
      </c>
    </row>
    <row r="12" spans="2:14" ht="16" thickBot="1" x14ac:dyDescent="0.25">
      <c r="B12" s="38" t="s">
        <v>101</v>
      </c>
      <c r="K12" s="39"/>
    </row>
    <row r="13" spans="2:14" ht="17" thickTop="1" thickBot="1" x14ac:dyDescent="0.25">
      <c r="B13" s="51" t="s">
        <v>102</v>
      </c>
      <c r="C13" s="70"/>
      <c r="D13" s="70"/>
      <c r="E13" s="70"/>
      <c r="F13" s="72" t="s">
        <v>103</v>
      </c>
      <c r="G13" s="52"/>
      <c r="H13" s="51" t="s">
        <v>104</v>
      </c>
      <c r="I13" s="70"/>
      <c r="J13" s="70"/>
      <c r="K13" s="70"/>
      <c r="L13" s="71"/>
      <c r="M13" s="68" t="s">
        <v>105</v>
      </c>
      <c r="N13" s="69"/>
    </row>
    <row r="14" spans="2:14" ht="14.25" customHeight="1" thickTop="1" x14ac:dyDescent="0.2">
      <c r="B14" s="67" t="s">
        <v>106</v>
      </c>
      <c r="C14" s="60" t="s">
        <v>107</v>
      </c>
      <c r="D14" s="60" t="s">
        <v>108</v>
      </c>
      <c r="E14" s="65" t="s">
        <v>109</v>
      </c>
      <c r="F14" s="64" t="s">
        <v>110</v>
      </c>
      <c r="G14" s="62" t="s">
        <v>111</v>
      </c>
      <c r="H14" s="61" t="s">
        <v>112</v>
      </c>
      <c r="I14" s="60" t="s">
        <v>106</v>
      </c>
      <c r="J14" s="60" t="s">
        <v>107</v>
      </c>
      <c r="K14" s="60" t="s">
        <v>113</v>
      </c>
      <c r="L14" s="58" t="s">
        <v>114</v>
      </c>
      <c r="M14" s="57" t="s">
        <v>115</v>
      </c>
      <c r="N14" s="73" t="s">
        <v>116</v>
      </c>
    </row>
    <row r="15" spans="2:14" x14ac:dyDescent="0.2">
      <c r="B15" s="53"/>
      <c r="C15" s="54"/>
      <c r="D15" s="54"/>
      <c r="E15" s="66"/>
      <c r="F15" s="55"/>
      <c r="G15" s="63"/>
      <c r="H15" s="56"/>
      <c r="I15" s="54"/>
      <c r="J15" s="54"/>
      <c r="K15" s="54"/>
      <c r="L15" s="59"/>
      <c r="M15" s="53"/>
      <c r="N15" s="55"/>
    </row>
    <row r="16" spans="2:14" x14ac:dyDescent="0.2">
      <c r="B16" s="20">
        <v>6</v>
      </c>
      <c r="C16" s="40">
        <v>6</v>
      </c>
      <c r="D16" s="40">
        <v>0</v>
      </c>
      <c r="E16" s="86">
        <v>1</v>
      </c>
      <c r="F16" s="41">
        <v>0</v>
      </c>
      <c r="G16" s="42" t="s">
        <v>117</v>
      </c>
      <c r="H16" s="43" t="s">
        <v>117</v>
      </c>
      <c r="I16" s="20">
        <f>SUM(J16:K16)</f>
        <v>0</v>
      </c>
      <c r="J16" s="40">
        <v>0</v>
      </c>
      <c r="K16" s="44">
        <v>0</v>
      </c>
      <c r="L16" s="45"/>
      <c r="M16" s="46" t="s">
        <v>134</v>
      </c>
      <c r="N16" s="47">
        <f>C16</f>
        <v>6</v>
      </c>
    </row>
  </sheetData>
  <mergeCells count="26">
    <mergeCell ref="N14:N15"/>
    <mergeCell ref="C6:C11"/>
    <mergeCell ref="B13:E13"/>
    <mergeCell ref="F13:G13"/>
    <mergeCell ref="H13:L13"/>
    <mergeCell ref="M13:N13"/>
    <mergeCell ref="B14:B15"/>
    <mergeCell ref="C14:C15"/>
    <mergeCell ref="D14:D15"/>
    <mergeCell ref="E14:E15"/>
    <mergeCell ref="F14:F15"/>
    <mergeCell ref="G14:G15"/>
    <mergeCell ref="H14:H15"/>
    <mergeCell ref="I14:I15"/>
    <mergeCell ref="J14:J15"/>
    <mergeCell ref="K14:K15"/>
    <mergeCell ref="L14:L15"/>
    <mergeCell ref="M14:M15"/>
    <mergeCell ref="D1:G1"/>
    <mergeCell ref="B3:L3"/>
    <mergeCell ref="B4:B5"/>
    <mergeCell ref="C4:C5"/>
    <mergeCell ref="D4:D5"/>
    <mergeCell ref="E4:J4"/>
    <mergeCell ref="K4:L4"/>
    <mergeCell ref="I5:J5"/>
  </mergeCells>
  <phoneticPr fontId="18" type="noConversion"/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CFCB93-350B-4228-B7F4-DB12383611F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F02.CFG-Paths</vt:lpstr>
      <vt:lpstr>F02.TCs</vt:lpstr>
      <vt:lpstr>WBT-TCs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MIHAI-ALEXANDRU HULUBEAC</cp:lastModifiedBy>
  <cp:revision>2</cp:revision>
  <dcterms:created xsi:type="dcterms:W3CDTF">2006-09-16T00:00:00Z</dcterms:created>
  <dcterms:modified xsi:type="dcterms:W3CDTF">2026-04-04T19:10:39Z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