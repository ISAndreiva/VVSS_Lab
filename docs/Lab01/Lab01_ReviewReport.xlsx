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ihaihulubeac/VVSS_Lab/docs/Lab01/"/>
    </mc:Choice>
  </mc:AlternateContent>
  <xr:revisionPtr revIDLastSave="0" documentId="13_ncr:1_{06E39297-C0DE-9641-BF21-9627A9449B12}" xr6:coauthVersionLast="47" xr6:coauthVersionMax="47" xr10:uidLastSave="{00000000-0000-0000-0000-000000000000}"/>
  <bookViews>
    <workbookView xWindow="0" yWindow="860" windowWidth="34200" windowHeight="21380" tabRatio="500" activeTab="1" xr2:uid="{00000000-000D-0000-FFFF-FFFF00000000}"/>
  </bookViews>
  <sheets>
    <sheet name="Requirements Phase Defects" sheetId="1" r:id="rId1"/>
    <sheet name="Architect. Design Phase Defects" sheetId="2" r:id="rId2"/>
    <sheet name="Coding Phase Defects" sheetId="3" r:id="rId3"/>
    <sheet name="Tool-basedCodeAnalysi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2" l="1"/>
  <c r="B11" i="4"/>
  <c r="B12" i="4" s="1"/>
  <c r="B13" i="4" s="1"/>
  <c r="B14" i="4" s="1"/>
  <c r="B15" i="4" s="1"/>
  <c r="B16" i="4" s="1"/>
  <c r="B17" i="4" s="1"/>
  <c r="B18" i="4" s="1"/>
  <c r="B19" i="4" s="1"/>
  <c r="B20" i="4" s="1"/>
  <c r="B21" i="4" s="1"/>
  <c r="B22" i="4" s="1"/>
  <c r="B23" i="4" s="1"/>
  <c r="B24" i="4" s="1"/>
  <c r="B25" i="4" s="1"/>
  <c r="B26" i="4" s="1"/>
  <c r="B27" i="4" s="1"/>
  <c r="B28" i="4" s="1"/>
  <c r="B29" i="4" s="1"/>
  <c r="B30" i="4" s="1"/>
  <c r="B11" i="3"/>
  <c r="B12" i="3" s="1"/>
  <c r="B13" i="3" s="1"/>
  <c r="B14" i="3" s="1"/>
  <c r="B15" i="3" s="1"/>
  <c r="B16" i="3" s="1"/>
  <c r="B17" i="3" s="1"/>
  <c r="B18" i="3" s="1"/>
  <c r="B19" i="3" s="1"/>
  <c r="B20" i="3" s="1"/>
  <c r="B21" i="3" s="1"/>
  <c r="B22" i="3" s="1"/>
  <c r="B23" i="3" s="1"/>
  <c r="B24" i="3" s="1"/>
  <c r="B25" i="3" s="1"/>
  <c r="B26" i="3" s="1"/>
  <c r="B27" i="3" s="1"/>
  <c r="B28" i="3" s="1"/>
  <c r="B29" i="3" s="1"/>
  <c r="B30" i="3" s="1"/>
  <c r="B11" i="2"/>
  <c r="B12" i="2" s="1"/>
  <c r="B13" i="2" s="1"/>
  <c r="B14" i="2" s="1"/>
  <c r="B15" i="2" s="1"/>
  <c r="B16" i="2" s="1"/>
  <c r="B17" i="2" s="1"/>
  <c r="B18" i="2" s="1"/>
  <c r="B19" i="2" s="1"/>
  <c r="B20" i="2" s="1"/>
  <c r="B21" i="2" s="1"/>
  <c r="B22" i="2" s="1"/>
  <c r="B23" i="2" s="1"/>
  <c r="B25" i="2" s="1"/>
  <c r="B26" i="2" s="1"/>
  <c r="B11" i="1"/>
  <c r="B12" i="1" s="1"/>
  <c r="B13" i="1" s="1"/>
  <c r="B14" i="1" s="1"/>
  <c r="B15" i="1" s="1"/>
  <c r="B16" i="1" s="1"/>
  <c r="B17" i="1" s="1"/>
  <c r="B18" i="1" s="1"/>
  <c r="B19" i="1" s="1"/>
  <c r="B20" i="1" s="1"/>
  <c r="B21" i="1" s="1"/>
  <c r="B22" i="1" s="1"/>
  <c r="B23" i="1" s="1"/>
  <c r="B24" i="1" s="1"/>
  <c r="B25" i="1" s="1"/>
</calcChain>
</file>

<file path=xl/sharedStrings.xml><?xml version="1.0" encoding="utf-8"?>
<sst xmlns="http://schemas.openxmlformats.org/spreadsheetml/2006/main" count="176" uniqueCount="102">
  <si>
    <t>do not print this form</t>
  </si>
  <si>
    <t>Echipa</t>
  </si>
  <si>
    <t>Review Form. Requirements Defects</t>
  </si>
  <si>
    <t>Numele si prenumele</t>
  </si>
  <si>
    <t>Grupa</t>
  </si>
  <si>
    <t>Student 1:</t>
  </si>
  <si>
    <t>Gramada Stefan-Lucian</t>
  </si>
  <si>
    <t>233/2</t>
  </si>
  <si>
    <t>Document  Title:</t>
  </si>
  <si>
    <t>Requirements Document</t>
  </si>
  <si>
    <t>Student 2:</t>
  </si>
  <si>
    <t>Hulubeac Mihai-Alexandru</t>
  </si>
  <si>
    <t>Author Name:</t>
  </si>
  <si>
    <t>Ioana-Sandu Andrei-Valeriu</t>
  </si>
  <si>
    <t>Student 3:</t>
  </si>
  <si>
    <t>Reviewer Name:</t>
  </si>
  <si>
    <t xml:space="preserve">Review date: </t>
  </si>
  <si>
    <t>Crt. No.</t>
  </si>
  <si>
    <t>Checked Item</t>
  </si>
  <si>
    <t>Doc. page/line</t>
  </si>
  <si>
    <t>Comments/ improvements</t>
  </si>
  <si>
    <t>R01</t>
  </si>
  <si>
    <t>Ce date se salveaza pentru bauturi, ingridiente, retete, comenzi</t>
  </si>
  <si>
    <t>Tipul si categoria sunt obiecte sau doar label-uri?</t>
  </si>
  <si>
    <t>Ce se intampla cu produsele cand le este stearsa categoria/tipul</t>
  </si>
  <si>
    <t>7 si 8</t>
  </si>
  <si>
    <t>Salvarea datelor este automata sau manuala</t>
  </si>
  <si>
    <t>R02</t>
  </si>
  <si>
    <t>Nu se specifica formatul datelor in fisere</t>
  </si>
  <si>
    <t>Nu se specifica folosirea validatorilor</t>
  </si>
  <si>
    <t>Nu se specifica performanta ceruta</t>
  </si>
  <si>
    <t>R03</t>
  </si>
  <si>
    <t>Ce insemna continutul</t>
  </si>
  <si>
    <t>R04</t>
  </si>
  <si>
    <t>Ce se intampla daca fisierele nu sunt accesibile (nu exista, corupte, format gresit, etc)</t>
  </si>
  <si>
    <t>R05</t>
  </si>
  <si>
    <t>Nu se mentioneaza validari</t>
  </si>
  <si>
    <t>R06</t>
  </si>
  <si>
    <t>Nu este specificat cine este utilizatorul final</t>
  </si>
  <si>
    <t>R07</t>
  </si>
  <si>
    <t>Versiunea Java</t>
  </si>
  <si>
    <t>Restricti memorie, spatiu, putere computationala</t>
  </si>
  <si>
    <t>Effort to review document (hours):</t>
  </si>
  <si>
    <t>Review Form. Architectural Design Defects</t>
  </si>
  <si>
    <t>Architectural Design Document</t>
  </si>
  <si>
    <t xml:space="preserve">Author Name: </t>
  </si>
  <si>
    <t>Review Form. Coding Defects</t>
  </si>
  <si>
    <t>Coding Document</t>
  </si>
  <si>
    <t>Popescu Ionel</t>
  </si>
  <si>
    <t>Tool-based Code Analysis</t>
  </si>
  <si>
    <t>Tool used:</t>
  </si>
  <si>
    <t>File, Line</t>
  </si>
  <si>
    <t>Issue</t>
  </si>
  <si>
    <t>Before</t>
  </si>
  <si>
    <t>After/Argument</t>
  </si>
  <si>
    <t>Effort to perform tool-based code analysis (hours):</t>
  </si>
  <si>
    <t>MyDrinkShop_1.0.plantuml</t>
  </si>
  <si>
    <t>Diagrama PlantUML prezintă clasele, dar nu există un document de arhitectură narativ sau o diagramă la nivel de pachete/straturi. Se recomandă adăugarea unui overview separat care să descrie cele 4 straturi (domain, repository, service, ui) și fluxul de date dintre ele.</t>
  </si>
  <si>
    <t>drinkshop/reports/DailyReportService.java</t>
  </si>
  <si>
    <t xml:space="preserve">A02 – Subsystem and package partitioning and layering	</t>
  </si>
  <si>
    <t xml:space="preserve">A03 – Architecture accounts for all requirements	</t>
  </si>
  <si>
    <t xml:space="preserve">A04 – Classes support services of their subsystem	</t>
  </si>
  <si>
    <t xml:space="preserve">A05 – Coherent error handling strategy	</t>
  </si>
  <si>
    <t xml:space="preserve">A06 – Classic design patterns considered	</t>
  </si>
  <si>
    <t xml:space="preserve">A07 – Class names reflect played role	</t>
  </si>
  <si>
    <t xml:space="preserve">A08 – Class responsibilities accurately captured	</t>
  </si>
  <si>
    <t xml:space="preserve">A09 – Role names of aggregations and associations	</t>
  </si>
  <si>
    <t xml:space="preserve">A10 – Key entity classes consistent with business model	</t>
  </si>
  <si>
    <r>
      <t>A01</t>
    </r>
    <r>
      <rPr>
        <sz val="11"/>
        <color theme="1"/>
        <rFont val="Arial"/>
        <family val="2"/>
      </rPr>
      <t> – Overall architectural organization and overview</t>
    </r>
  </si>
  <si>
    <r>
      <t>A02</t>
    </r>
    <r>
      <rPr>
        <sz val="11"/>
        <color theme="1"/>
        <rFont val="Arial"/>
        <family val="2"/>
      </rPr>
      <t> – Subsystem and package partitioning and layering</t>
    </r>
  </si>
  <si>
    <r>
      <t>A03</t>
    </r>
    <r>
      <rPr>
        <sz val="11"/>
        <color theme="1"/>
        <rFont val="Arial"/>
        <family val="2"/>
      </rPr>
      <t> – Architecture accounts for all requirements</t>
    </r>
  </si>
  <si>
    <t xml:space="preserve">drinkshop/service/DrinkShopService.java L14-22	</t>
  </si>
  <si>
    <t xml:space="preserve">drinkshop/repository/file/FileAbstractRepository.java L14	</t>
  </si>
  <si>
    <t xml:space="preserve">drinkshop/domain/CategorieBautura.java, TipBautura.java	</t>
  </si>
  <si>
    <t xml:space="preserve">drinkshop/domain/Reteta.java	</t>
  </si>
  <si>
    <t xml:space="preserve">drinkshop/domain/Order.java	</t>
  </si>
  <si>
    <t xml:space="preserve">drinkshop/service/validator/ProductValidator.java – drinkshop/service/ProductService.java L15	</t>
  </si>
  <si>
    <t xml:space="preserve">drinkshop/service/OrderService.java L42-44 vs drinkshop/domain/Order.java L48-50	</t>
  </si>
  <si>
    <t>A04 – Classes support services of their subsystem</t>
  </si>
  <si>
    <t xml:space="preserve">drinkshop/repository/file/FileAbstractRepository.java L18 și L28	</t>
  </si>
  <si>
    <t xml:space="preserve">drinkshop/service/StocService.java L37 și L56	</t>
  </si>
  <si>
    <t xml:space="preserve">drinkshop/repository/, drinkshop/service/DrinkShopService.java, drinkshop/service/validator/	</t>
  </si>
  <si>
    <t xml:space="preserve">drinkshop/service/DrinkShopService.java	</t>
  </si>
  <si>
    <t xml:space="preserve">drinkshop/ui/DrinkShopController.java (conform PlantUML)	</t>
  </si>
  <si>
    <t xml:space="preserve">drinkshop/domain/Order.java L1, drinkshop/domain/OrderItem.java L1	</t>
  </si>
  <si>
    <t>MyDrinkShop_1.0.plantuml – relații de agregare</t>
  </si>
  <si>
    <t xml:space="preserve">drinkshop/domain/Stoc.java, drinkshop/domain/IngredientReteta.java	</t>
  </si>
  <si>
    <t>DrinkShopService instanțiază intern sub-serviciile (new ProductService(...)) în loc să le primească prin injecție de dependențe. Aceasta creează cuplare strânsă și reduce testabilitatea. Se recomandă injecție prin constructor.</t>
  </si>
  <si>
    <t>Cerința 1 (validarea fișierelor la pornire) nu este implementată. loadFromFile() este comentat în constructor și nu există nicio logică de validare/recreare a fișierelor. Se impune implementarea validării la startup, cu suprascrierea fișierelor invalide.</t>
  </si>
  <si>
    <t>Cerințele 2 și 3 specifică că tipul și categoria sunt obiecte separate și că utilizatorul le poate adăuga/modifica/șterge. Implementarea ca enum-uri hardcodate nu satisface aceste cerințe. Se recomandă transformarea în entități cu repository și service proprii.</t>
  </si>
  <si>
    <t>Clasa Order nu are un câmp pentru dată/timestamp. Cerința 9 (raport zilnic, calculul totalului zilei) necesită filtrarea comenzilor pe dată. Se recomandă adăugarea câmpului LocalDate data sau LocalDateTime timestamp.</t>
  </si>
  <si>
    <t>Validatorii (ProductValidator, OrderValidator, RetetaValidator, StocValidator) sunt definiți dar nu sunt apelați niciodată din metodele serviciilor. CRUD-ul se efectuează fără validare. Se recomandă injectarea și apelarea validatorilor în fiecare metodă add/update.</t>
  </si>
  <si>
    <t>Logica de calcul a totalului comenzii este duplicată: OrderService.computeTotal() și Order.computeTotalPrice() calculează același lucru. Se recomandă eliminarea duplicării – logica rămâne fie în domain (Order), fie în service, nu în ambele.</t>
  </si>
  <si>
    <t>StocService aruncă IllegalStateException deși ValidationException a fost definit exact în acest scop. Strategia de gestionare a erorilor nu este aplicată uniform. Se recomandă utilizarea ValidationException pentru toate erorile de business.</t>
  </si>
  <si>
    <t>Puncte forte: Repository Pattern (Repository&lt;ID,E&gt; + AbstractRepository + FileAbstractRepository), Template Method (extractEntity/createEntityAsString), Facade (DrinkShopService), Strategy (Validator&lt;T&gt;). Lipsă: pattern Observer pentru alertare la stoc sub minim ar fi util conform cerințelor de business.</t>
  </si>
  <si>
    <t>DrinkShopService funcționează ca un Facade peste sub-servicii dar numele nu indică explicit acest rol. Sugestie: DrinkShopFacade sau documentarea rolului de facade prin comentariu JavaDoc.</t>
  </si>
  <si>
    <t>Numele de roluri din diagramă (currentOrder, orderRepo, productRepository, productList) sunt în general clare și descriptive. Se recomandă marcarea explicită în diagramă a faptului că currentOrder și currentOrderItems din DrinkShopController sunt stare UI tranzitorie, nu asocieri structurale permanente.</t>
  </si>
  <si>
    <t>Nu există o entitate Ingredient separată. Atât Stoc cât și IngredientReteta identifică ingredientele prin String (tip-ul ingredient/denumire), fără legătură structurală. Aceasta permite inconsistențe (același ingredient cu grafii diferite). Se recomandă introducerea unei entități Ingredient cu id și denumire, referențiată de ambele clase.</t>
  </si>
  <si>
    <t>DailyReportService se află în pachetul reports dar este o clasă de serviciu. Trebuie mutat în drinkshop.service pentru consistența stratificării.</t>
  </si>
  <si>
    <r>
      <t>Cerința precizează că </t>
    </r>
    <r>
      <rPr>
        <i/>
        <sz val="9"/>
        <color theme="1"/>
        <rFont val="Calibri"/>
        <family val="2"/>
        <scheme val="minor"/>
      </rPr>
      <t>rețeta are o listă de ingrediente și un </t>
    </r>
    <r>
      <rPr>
        <b/>
        <i/>
        <sz val="9"/>
        <color theme="1"/>
        <rFont val="Calibri"/>
        <family val="2"/>
        <scheme val="minor"/>
      </rPr>
      <t>nume</t>
    </r>
    <r>
      <rPr>
        <sz val="9"/>
        <color theme="1"/>
        <rFont val="Calibri"/>
        <family val="2"/>
        <scheme val="minor"/>
      </rPr>
      <t>. Clasa Reteta nu are câmpul name, doar id și ingrediente. Se impune adăugarea câmpului și actualizarea persistenței.</t>
    </r>
  </si>
  <si>
    <t>IOException este capturat și afișat cu e.printStackTrace(), fără propagare. Erorile de I/O sunt înghițite silențios, ceea ce poate duce la stare inconsistentă a datelor. Se recomandă propagarea excepției sau aruncarea unei excepții specifice aplicației.</t>
  </si>
  <si>
    <t>Order și OrderItem implementează Serializable, deși persistența este realizată exclusiv prin fișiere text în repository. Interfața este redundantă și induce în eroare în privința intenției arhitecturale. Se recomandă eliminarea implements Serializable.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</si>
</sst>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4" x14ac:knownFonts="1">
    <font>
      <sz val="11"/>
      <color theme="1"/>
      <name val="Calibri"/>
      <family val="2"/>
      <charset val="238"/>
    </font>
    <font>
      <sz val="11"/>
      <color theme="1"/>
      <name val="Calibri"/>
      <family val="2"/>
      <charset val="1"/>
    </font>
    <font>
      <b/>
      <sz val="12"/>
      <color rgb="FF000080"/>
      <name val="Calibri"/>
      <family val="2"/>
      <charset val="1"/>
    </font>
    <font>
      <i/>
      <sz val="9"/>
      <color rgb="FFC00000"/>
      <name val="Calibri"/>
      <family val="2"/>
      <charset val="1"/>
    </font>
    <font>
      <b/>
      <sz val="11"/>
      <color theme="1"/>
      <name val="Calibri"/>
      <family val="2"/>
      <charset val="1"/>
    </font>
    <font>
      <b/>
      <i/>
      <sz val="11"/>
      <color theme="1"/>
      <name val="Calibri"/>
      <family val="2"/>
      <charset val="1"/>
    </font>
    <font>
      <i/>
      <sz val="11"/>
      <color theme="1"/>
      <name val="Calibri"/>
      <family val="2"/>
      <charset val="1"/>
    </font>
    <font>
      <u/>
      <sz val="11"/>
      <color theme="10"/>
      <name val="Calibri"/>
      <family val="2"/>
      <charset val="238"/>
    </font>
    <font>
      <sz val="11"/>
      <color theme="1"/>
      <name val="Arial"/>
      <family val="2"/>
    </font>
    <font>
      <sz val="11"/>
      <color theme="1"/>
      <name val="Calibri (Body)"/>
    </font>
    <font>
      <u/>
      <sz val="9"/>
      <color theme="1"/>
      <name val="Calibri"/>
      <family val="2"/>
      <scheme val="minor"/>
    </font>
    <font>
      <sz val="9"/>
      <color theme="1"/>
      <name val="Calibri"/>
      <family val="2"/>
      <scheme val="minor"/>
    </font>
    <font>
      <i/>
      <sz val="9"/>
      <color theme="1"/>
      <name val="Calibri"/>
      <family val="2"/>
      <scheme val="minor"/>
    </font>
    <font>
      <b/>
      <i/>
      <sz val="9"/>
      <color theme="1"/>
      <name val="Calibri"/>
      <family val="2"/>
      <scheme val="minor"/>
    </font>
  </fonts>
  <fills count="5">
    <fill>
      <patternFill patternType="none"/>
    </fill>
    <fill>
      <patternFill patternType="gray125"/>
    </fill>
    <fill>
      <patternFill patternType="solid">
        <fgColor theme="7" tint="0.79989013336588644"/>
        <bgColor rgb="FFEBF1DE"/>
      </patternFill>
    </fill>
    <fill>
      <patternFill patternType="solid">
        <fgColor theme="9" tint="0.79989013336588644"/>
        <bgColor rgb="FFEBF1DE"/>
      </patternFill>
    </fill>
    <fill>
      <patternFill patternType="solid">
        <fgColor theme="3" tint="0.79989013336588644"/>
        <bgColor rgb="FFE6E0EC"/>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4" fillId="0" borderId="4" xfId="0" applyFont="1" applyBorder="1" applyAlignment="1">
      <alignment horizontal="left"/>
    </xf>
    <xf numFmtId="0" fontId="5" fillId="4" borderId="1" xfId="0" applyFont="1" applyFill="1" applyBorder="1" applyAlignment="1">
      <alignment horizontal="right"/>
    </xf>
    <xf numFmtId="0" fontId="4" fillId="4" borderId="1" xfId="0" applyFont="1" applyFill="1" applyBorder="1" applyAlignment="1">
      <alignment horizontal="right"/>
    </xf>
    <xf numFmtId="0" fontId="5" fillId="3" borderId="1" xfId="0" applyFont="1" applyFill="1" applyBorder="1" applyAlignment="1">
      <alignment horizontal="right"/>
    </xf>
    <xf numFmtId="0" fontId="4" fillId="3" borderId="1" xfId="0" applyFont="1" applyFill="1" applyBorder="1" applyAlignment="1">
      <alignment horizontal="right"/>
    </xf>
    <xf numFmtId="0" fontId="4" fillId="0" borderId="1" xfId="0" applyFont="1" applyBorder="1" applyAlignment="1">
      <alignment horizontal="right"/>
    </xf>
    <xf numFmtId="0" fontId="5" fillId="2" borderId="1" xfId="0" applyFont="1" applyFill="1" applyBorder="1" applyAlignment="1">
      <alignment horizontal="right"/>
    </xf>
    <xf numFmtId="0" fontId="4" fillId="2" borderId="1" xfId="0" applyFont="1" applyFill="1" applyBorder="1" applyAlignment="1">
      <alignment horizontal="right"/>
    </xf>
    <xf numFmtId="0" fontId="4" fillId="0" borderId="0" xfId="0" applyFont="1" applyBorder="1" applyAlignment="1">
      <alignment horizontal="center"/>
    </xf>
    <xf numFmtId="0" fontId="1" fillId="0" borderId="1" xfId="0" applyFont="1" applyBorder="1" applyAlignment="1">
      <alignment horizontal="center"/>
    </xf>
    <xf numFmtId="0" fontId="1" fillId="0" borderId="0" xfId="0" applyFont="1"/>
    <xf numFmtId="0" fontId="2" fillId="0" borderId="0" xfId="0" applyFont="1"/>
    <xf numFmtId="0" fontId="3" fillId="0" borderId="0" xfId="0" applyFont="1"/>
    <xf numFmtId="0" fontId="1" fillId="0" borderId="1" xfId="0" applyFont="1" applyBorder="1"/>
    <xf numFmtId="0" fontId="4" fillId="2" borderId="1" xfId="0" applyFont="1" applyFill="1" applyBorder="1"/>
    <xf numFmtId="0" fontId="4" fillId="0" borderId="0" xfId="0" applyFont="1"/>
    <xf numFmtId="0" fontId="4"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1" xfId="0" applyFont="1" applyBorder="1"/>
    <xf numFmtId="0" fontId="6" fillId="0" borderId="1" xfId="0" applyFont="1" applyBorder="1" applyAlignment="1">
      <alignment wrapText="1"/>
    </xf>
    <xf numFmtId="164" fontId="6" fillId="0" borderId="1" xfId="0" applyNumberFormat="1" applyFont="1" applyBorder="1"/>
    <xf numFmtId="0" fontId="1" fillId="0" borderId="1" xfId="0" applyFont="1" applyBorder="1" applyAlignment="1">
      <alignment wrapText="1"/>
    </xf>
    <xf numFmtId="0" fontId="4" fillId="0" borderId="2" xfId="0" applyFont="1" applyBorder="1"/>
    <xf numFmtId="0" fontId="4" fillId="0" borderId="3" xfId="0" applyFont="1" applyBorder="1"/>
    <xf numFmtId="0" fontId="4" fillId="3" borderId="1" xfId="0" applyFont="1" applyFill="1" applyBorder="1"/>
    <xf numFmtId="0" fontId="4" fillId="4" borderId="1" xfId="0" applyFont="1" applyFill="1" applyBorder="1"/>
    <xf numFmtId="0" fontId="6" fillId="0" borderId="0" xfId="0" applyFont="1"/>
    <xf numFmtId="0" fontId="9" fillId="0" borderId="1" xfId="0" applyFont="1" applyBorder="1"/>
    <xf numFmtId="0" fontId="10" fillId="0" borderId="0" xfId="1" applyFont="1"/>
    <xf numFmtId="0" fontId="11" fillId="0" borderId="0" xfId="0" applyFont="1"/>
    <xf numFmtId="0" fontId="11" fillId="0" borderId="1" xfId="0" applyFont="1"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DEADA"/>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EBF1DE"/>
      <rgbColor rgb="FFE6E0EC"/>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vscode-file://vscode-app/Applications/Visual%20Studio%20Code.app/Contents/Resources/app/out/vs/code/electron-browser/workbench/workbenc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C1DA"/>
  </sheetPr>
  <dimension ref="A1:J27"/>
  <sheetViews>
    <sheetView zoomScale="190" zoomScaleNormal="100" workbookViewId="0">
      <selection activeCell="E19" sqref="E19"/>
    </sheetView>
  </sheetViews>
  <sheetFormatPr baseColWidth="10" defaultColWidth="8.83203125" defaultRowHeight="15" x14ac:dyDescent="0.2"/>
  <cols>
    <col min="1" max="1" width="8.83203125" style="11"/>
    <col min="2" max="2" width="12.33203125" style="11" customWidth="1"/>
    <col min="3" max="4" width="16.33203125" style="11" customWidth="1"/>
    <col min="5" max="5" width="41.5" style="11" customWidth="1"/>
    <col min="6" max="7" width="8.83203125" style="11"/>
    <col min="8" max="8" width="10.5" style="11" customWidth="1"/>
    <col min="9" max="9" width="27.33203125" style="11" customWidth="1"/>
    <col min="10" max="10" width="14.5" style="11" customWidth="1"/>
    <col min="11" max="16384" width="8.83203125" style="11"/>
  </cols>
  <sheetData>
    <row r="1" spans="1:10" ht="16" x14ac:dyDescent="0.2">
      <c r="A1" s="12"/>
      <c r="B1" s="13" t="s">
        <v>0</v>
      </c>
      <c r="H1" s="10" t="s">
        <v>1</v>
      </c>
      <c r="I1" s="10"/>
      <c r="J1" s="10"/>
    </row>
    <row r="2" spans="1:10" x14ac:dyDescent="0.2">
      <c r="B2" s="9" t="s">
        <v>2</v>
      </c>
      <c r="C2" s="9"/>
      <c r="D2" s="9"/>
      <c r="E2" s="9"/>
      <c r="H2" s="14"/>
      <c r="I2" s="14" t="s">
        <v>3</v>
      </c>
      <c r="J2" s="14" t="s">
        <v>4</v>
      </c>
    </row>
    <row r="3" spans="1:10" x14ac:dyDescent="0.2">
      <c r="H3" s="14" t="s">
        <v>5</v>
      </c>
      <c r="I3" s="14" t="s">
        <v>6</v>
      </c>
      <c r="J3" s="14" t="s">
        <v>7</v>
      </c>
    </row>
    <row r="4" spans="1:10" x14ac:dyDescent="0.2">
      <c r="C4" s="15" t="s">
        <v>8</v>
      </c>
      <c r="D4" s="8" t="s">
        <v>9</v>
      </c>
      <c r="E4" s="8"/>
      <c r="H4" s="14" t="s">
        <v>10</v>
      </c>
      <c r="I4" s="14" t="s">
        <v>11</v>
      </c>
      <c r="J4" s="14" t="s">
        <v>7</v>
      </c>
    </row>
    <row r="5" spans="1:10" x14ac:dyDescent="0.2">
      <c r="C5" s="15" t="s">
        <v>12</v>
      </c>
      <c r="D5" s="7" t="s">
        <v>13</v>
      </c>
      <c r="E5" s="7"/>
      <c r="H5" s="14" t="s">
        <v>14</v>
      </c>
      <c r="I5" s="14" t="s">
        <v>13</v>
      </c>
      <c r="J5" s="14" t="s">
        <v>7</v>
      </c>
    </row>
    <row r="6" spans="1:10" x14ac:dyDescent="0.2">
      <c r="B6" s="16"/>
      <c r="C6" s="17" t="s">
        <v>15</v>
      </c>
      <c r="D6" s="6"/>
      <c r="E6" s="6"/>
    </row>
    <row r="7" spans="1:10" x14ac:dyDescent="0.2">
      <c r="C7" s="17" t="s">
        <v>16</v>
      </c>
      <c r="D7" s="6"/>
      <c r="E7" s="6"/>
    </row>
    <row r="9" spans="1:10" ht="16" x14ac:dyDescent="0.2">
      <c r="B9" s="18" t="s">
        <v>17</v>
      </c>
      <c r="C9" s="18" t="s">
        <v>18</v>
      </c>
      <c r="D9" s="18" t="s">
        <v>19</v>
      </c>
      <c r="E9" s="19" t="s">
        <v>20</v>
      </c>
    </row>
    <row r="10" spans="1:10" ht="32" x14ac:dyDescent="0.2">
      <c r="B10" s="14">
        <v>1</v>
      </c>
      <c r="C10" s="20" t="s">
        <v>21</v>
      </c>
      <c r="D10" s="20">
        <v>1</v>
      </c>
      <c r="E10" s="21" t="s">
        <v>22</v>
      </c>
    </row>
    <row r="11" spans="1:10" ht="16" x14ac:dyDescent="0.2">
      <c r="B11" s="14">
        <f t="shared" ref="B11:B25" si="0">B10+1</f>
        <v>2</v>
      </c>
      <c r="C11" s="20" t="s">
        <v>21</v>
      </c>
      <c r="D11" s="20">
        <v>2</v>
      </c>
      <c r="E11" s="21" t="s">
        <v>23</v>
      </c>
    </row>
    <row r="12" spans="1:10" ht="32" x14ac:dyDescent="0.2">
      <c r="B12" s="14">
        <f t="shared" si="0"/>
        <v>3</v>
      </c>
      <c r="C12" s="20" t="s">
        <v>21</v>
      </c>
      <c r="D12" s="20">
        <v>3</v>
      </c>
      <c r="E12" s="21" t="s">
        <v>24</v>
      </c>
    </row>
    <row r="13" spans="1:10" ht="16" x14ac:dyDescent="0.2">
      <c r="B13" s="14">
        <f t="shared" si="0"/>
        <v>4</v>
      </c>
      <c r="C13" s="20" t="s">
        <v>21</v>
      </c>
      <c r="D13" s="22" t="s">
        <v>25</v>
      </c>
      <c r="E13" s="21" t="s">
        <v>26</v>
      </c>
    </row>
    <row r="14" spans="1:10" ht="16" x14ac:dyDescent="0.2">
      <c r="B14" s="14">
        <f t="shared" si="0"/>
        <v>5</v>
      </c>
      <c r="C14" s="20" t="s">
        <v>27</v>
      </c>
      <c r="D14" s="20">
        <v>3</v>
      </c>
      <c r="E14" s="21" t="s">
        <v>28</v>
      </c>
    </row>
    <row r="15" spans="1:10" ht="16" x14ac:dyDescent="0.2">
      <c r="B15" s="14">
        <f t="shared" si="0"/>
        <v>6</v>
      </c>
      <c r="C15" s="20" t="s">
        <v>27</v>
      </c>
      <c r="D15" s="20"/>
      <c r="E15" s="21" t="s">
        <v>29</v>
      </c>
    </row>
    <row r="16" spans="1:10" ht="16" x14ac:dyDescent="0.2">
      <c r="B16" s="14">
        <f t="shared" si="0"/>
        <v>7</v>
      </c>
      <c r="C16" s="20" t="s">
        <v>27</v>
      </c>
      <c r="D16" s="20"/>
      <c r="E16" s="21" t="s">
        <v>30</v>
      </c>
    </row>
    <row r="17" spans="2:5" x14ac:dyDescent="0.2">
      <c r="B17" s="14">
        <f t="shared" si="0"/>
        <v>8</v>
      </c>
      <c r="C17" t="s">
        <v>31</v>
      </c>
      <c r="D17">
        <v>7</v>
      </c>
      <c r="E17" t="s">
        <v>32</v>
      </c>
    </row>
    <row r="18" spans="2:5" ht="32" x14ac:dyDescent="0.2">
      <c r="B18" s="14">
        <f t="shared" si="0"/>
        <v>9</v>
      </c>
      <c r="C18" s="20" t="s">
        <v>33</v>
      </c>
      <c r="D18" s="20"/>
      <c r="E18" s="21" t="s">
        <v>34</v>
      </c>
    </row>
    <row r="19" spans="2:5" x14ac:dyDescent="0.2">
      <c r="B19" s="14">
        <f t="shared" si="0"/>
        <v>10</v>
      </c>
      <c r="C19" t="s">
        <v>35</v>
      </c>
      <c r="D19"/>
      <c r="E19" t="s">
        <v>36</v>
      </c>
    </row>
    <row r="20" spans="2:5" ht="16" x14ac:dyDescent="0.2">
      <c r="B20" s="14">
        <f t="shared" si="0"/>
        <v>11</v>
      </c>
      <c r="C20" s="14" t="s">
        <v>37</v>
      </c>
      <c r="D20" s="14"/>
      <c r="E20" s="23" t="s">
        <v>38</v>
      </c>
    </row>
    <row r="21" spans="2:5" ht="16" x14ac:dyDescent="0.2">
      <c r="B21" s="14">
        <f t="shared" si="0"/>
        <v>12</v>
      </c>
      <c r="C21" s="14" t="s">
        <v>39</v>
      </c>
      <c r="D21" s="14"/>
      <c r="E21" s="23" t="s">
        <v>40</v>
      </c>
    </row>
    <row r="22" spans="2:5" ht="16" x14ac:dyDescent="0.2">
      <c r="B22" s="14">
        <f t="shared" si="0"/>
        <v>13</v>
      </c>
      <c r="C22" s="14" t="s">
        <v>39</v>
      </c>
      <c r="D22" s="14"/>
      <c r="E22" s="23" t="s">
        <v>41</v>
      </c>
    </row>
    <row r="23" spans="2:5" x14ac:dyDescent="0.2">
      <c r="B23" s="14">
        <f t="shared" si="0"/>
        <v>14</v>
      </c>
      <c r="C23"/>
      <c r="D23"/>
      <c r="E23"/>
    </row>
    <row r="24" spans="2:5" x14ac:dyDescent="0.2">
      <c r="B24" s="14">
        <f t="shared" si="0"/>
        <v>15</v>
      </c>
      <c r="C24"/>
      <c r="D24"/>
      <c r="E24"/>
    </row>
    <row r="25" spans="2:5" x14ac:dyDescent="0.2">
      <c r="B25" s="14">
        <f t="shared" si="0"/>
        <v>16</v>
      </c>
      <c r="C25" s="14"/>
      <c r="D25" s="14"/>
      <c r="E25" s="23"/>
    </row>
    <row r="27" spans="2:5" x14ac:dyDescent="0.2">
      <c r="C27" s="24" t="s">
        <v>42</v>
      </c>
      <c r="D27" s="25"/>
      <c r="E27" s="20">
        <v>0.75</v>
      </c>
    </row>
  </sheetData>
  <mergeCells count="6">
    <mergeCell ref="D7:E7"/>
    <mergeCell ref="H1:J1"/>
    <mergeCell ref="B2:E2"/>
    <mergeCell ref="D4:E4"/>
    <mergeCell ref="D5:E5"/>
    <mergeCell ref="D6:E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D5B5"/>
  </sheetPr>
  <dimension ref="A1:J27"/>
  <sheetViews>
    <sheetView tabSelected="1" zoomScale="175" zoomScaleNormal="175" workbookViewId="0">
      <selection activeCell="G30" sqref="G30"/>
    </sheetView>
  </sheetViews>
  <sheetFormatPr baseColWidth="10" defaultColWidth="8.83203125" defaultRowHeight="15" x14ac:dyDescent="0.2"/>
  <cols>
    <col min="1" max="1" width="8.83203125" style="11"/>
    <col min="2" max="2" width="12.33203125" style="11" customWidth="1"/>
    <col min="3" max="3" width="53" style="11" bestFit="1" customWidth="1"/>
    <col min="4" max="4" width="61.1640625" style="11" bestFit="1" customWidth="1"/>
    <col min="5" max="5" width="41.5" style="11" customWidth="1"/>
    <col min="6" max="8" width="8.83203125" style="11"/>
    <col min="9" max="9" width="22.1640625" style="11" customWidth="1"/>
    <col min="10" max="16384" width="8.83203125" style="11"/>
  </cols>
  <sheetData>
    <row r="1" spans="1:10" ht="16" x14ac:dyDescent="0.2">
      <c r="A1" s="12"/>
      <c r="B1" s="13" t="s">
        <v>0</v>
      </c>
      <c r="H1" s="10" t="s">
        <v>1</v>
      </c>
      <c r="I1" s="10"/>
      <c r="J1" s="10"/>
    </row>
    <row r="2" spans="1:10" x14ac:dyDescent="0.2">
      <c r="B2" s="9" t="s">
        <v>43</v>
      </c>
      <c r="C2" s="9"/>
      <c r="D2" s="9"/>
      <c r="E2" s="9"/>
      <c r="H2" s="14"/>
      <c r="I2" s="14" t="s">
        <v>3</v>
      </c>
      <c r="J2" s="14" t="s">
        <v>4</v>
      </c>
    </row>
    <row r="3" spans="1:10" x14ac:dyDescent="0.2">
      <c r="H3" s="14" t="s">
        <v>5</v>
      </c>
      <c r="I3" s="14" t="s">
        <v>6</v>
      </c>
      <c r="J3" s="14" t="s">
        <v>7</v>
      </c>
    </row>
    <row r="4" spans="1:10" x14ac:dyDescent="0.2">
      <c r="C4" s="26" t="s">
        <v>8</v>
      </c>
      <c r="D4" s="5" t="s">
        <v>44</v>
      </c>
      <c r="E4" s="5"/>
      <c r="H4" s="14" t="s">
        <v>10</v>
      </c>
      <c r="I4" s="14" t="s">
        <v>11</v>
      </c>
      <c r="J4" s="14" t="s">
        <v>7</v>
      </c>
    </row>
    <row r="5" spans="1:10" x14ac:dyDescent="0.2">
      <c r="C5" s="26" t="s">
        <v>45</v>
      </c>
      <c r="D5" s="4" t="s">
        <v>11</v>
      </c>
      <c r="E5" s="4"/>
      <c r="H5" s="14" t="s">
        <v>14</v>
      </c>
      <c r="I5" s="14" t="s">
        <v>13</v>
      </c>
      <c r="J5" s="14" t="s">
        <v>7</v>
      </c>
    </row>
    <row r="6" spans="1:10" x14ac:dyDescent="0.2">
      <c r="B6" s="16"/>
      <c r="C6" s="17" t="s">
        <v>15</v>
      </c>
      <c r="D6" s="6"/>
      <c r="E6" s="6"/>
    </row>
    <row r="7" spans="1:10" x14ac:dyDescent="0.2">
      <c r="C7" s="17" t="s">
        <v>16</v>
      </c>
      <c r="D7" s="6"/>
      <c r="E7" s="6"/>
    </row>
    <row r="9" spans="1:10" x14ac:dyDescent="0.2">
      <c r="B9" s="18" t="s">
        <v>17</v>
      </c>
      <c r="C9" s="18" t="s">
        <v>18</v>
      </c>
      <c r="D9" s="18" t="s">
        <v>19</v>
      </c>
      <c r="E9" s="18" t="s">
        <v>20</v>
      </c>
    </row>
    <row r="10" spans="1:10" x14ac:dyDescent="0.2">
      <c r="B10" s="14">
        <v>1</v>
      </c>
      <c r="C10" s="14" t="s">
        <v>68</v>
      </c>
      <c r="D10" s="30" t="s">
        <v>56</v>
      </c>
      <c r="E10" s="31" t="s">
        <v>57</v>
      </c>
    </row>
    <row r="11" spans="1:10" x14ac:dyDescent="0.2">
      <c r="B11" s="14">
        <f t="shared" ref="B11:B26" si="0">B10+1</f>
        <v>2</v>
      </c>
      <c r="C11" s="14" t="s">
        <v>69</v>
      </c>
      <c r="D11" s="31" t="s">
        <v>58</v>
      </c>
      <c r="E11" s="31" t="s">
        <v>98</v>
      </c>
    </row>
    <row r="12" spans="1:10" x14ac:dyDescent="0.2">
      <c r="B12" s="14">
        <f t="shared" si="0"/>
        <v>3</v>
      </c>
      <c r="C12" s="14" t="s">
        <v>59</v>
      </c>
      <c r="D12" s="32" t="s">
        <v>71</v>
      </c>
      <c r="E12" s="31" t="s">
        <v>87</v>
      </c>
    </row>
    <row r="13" spans="1:10" x14ac:dyDescent="0.2">
      <c r="B13" s="14">
        <f t="shared" si="0"/>
        <v>4</v>
      </c>
      <c r="C13" s="14" t="s">
        <v>70</v>
      </c>
      <c r="D13" s="31" t="s">
        <v>72</v>
      </c>
      <c r="E13" s="32" t="s">
        <v>88</v>
      </c>
    </row>
    <row r="14" spans="1:10" x14ac:dyDescent="0.2">
      <c r="B14" s="14">
        <f t="shared" si="0"/>
        <v>5</v>
      </c>
      <c r="C14" s="14" t="s">
        <v>70</v>
      </c>
      <c r="D14" s="31" t="s">
        <v>73</v>
      </c>
      <c r="E14" s="32" t="s">
        <v>89</v>
      </c>
    </row>
    <row r="15" spans="1:10" x14ac:dyDescent="0.2">
      <c r="B15" s="14">
        <f t="shared" si="0"/>
        <v>6</v>
      </c>
      <c r="C15" s="14" t="s">
        <v>60</v>
      </c>
      <c r="D15" s="32" t="s">
        <v>74</v>
      </c>
      <c r="E15" s="31" t="s">
        <v>99</v>
      </c>
    </row>
    <row r="16" spans="1:10" x14ac:dyDescent="0.2">
      <c r="B16" s="14">
        <f t="shared" si="0"/>
        <v>7</v>
      </c>
      <c r="C16" s="14" t="s">
        <v>60</v>
      </c>
      <c r="D16" s="32" t="s">
        <v>75</v>
      </c>
      <c r="E16" s="31" t="s">
        <v>90</v>
      </c>
    </row>
    <row r="17" spans="2:5" x14ac:dyDescent="0.2">
      <c r="B17" s="14">
        <f t="shared" si="0"/>
        <v>8</v>
      </c>
      <c r="C17" s="14" t="s">
        <v>61</v>
      </c>
      <c r="D17" s="32" t="s">
        <v>76</v>
      </c>
      <c r="E17" s="32" t="s">
        <v>91</v>
      </c>
    </row>
    <row r="18" spans="2:5" x14ac:dyDescent="0.2">
      <c r="B18" s="14">
        <f t="shared" si="0"/>
        <v>9</v>
      </c>
      <c r="C18" s="29" t="s">
        <v>78</v>
      </c>
      <c r="D18" s="31" t="s">
        <v>77</v>
      </c>
      <c r="E18" s="32" t="s">
        <v>92</v>
      </c>
    </row>
    <row r="19" spans="2:5" x14ac:dyDescent="0.2">
      <c r="B19" s="14">
        <f t="shared" si="0"/>
        <v>10</v>
      </c>
      <c r="C19" s="14" t="s">
        <v>62</v>
      </c>
      <c r="D19" s="32" t="s">
        <v>79</v>
      </c>
      <c r="E19" s="32" t="s">
        <v>92</v>
      </c>
    </row>
    <row r="20" spans="2:5" x14ac:dyDescent="0.2">
      <c r="B20" s="14">
        <f t="shared" si="0"/>
        <v>11</v>
      </c>
      <c r="C20" s="14" t="s">
        <v>62</v>
      </c>
      <c r="D20" s="32" t="s">
        <v>80</v>
      </c>
      <c r="E20" s="31" t="s">
        <v>100</v>
      </c>
    </row>
    <row r="21" spans="2:5" x14ac:dyDescent="0.2">
      <c r="B21" s="14">
        <f t="shared" si="0"/>
        <v>12</v>
      </c>
      <c r="C21" s="14" t="s">
        <v>63</v>
      </c>
      <c r="D21" s="32" t="s">
        <v>81</v>
      </c>
      <c r="E21" s="31" t="s">
        <v>93</v>
      </c>
    </row>
    <row r="22" spans="2:5" x14ac:dyDescent="0.2">
      <c r="B22" s="14">
        <f t="shared" si="0"/>
        <v>13</v>
      </c>
      <c r="C22" s="14" t="s">
        <v>64</v>
      </c>
      <c r="D22" s="32" t="s">
        <v>82</v>
      </c>
      <c r="E22" s="32" t="s">
        <v>94</v>
      </c>
    </row>
    <row r="23" spans="2:5" x14ac:dyDescent="0.2">
      <c r="B23" s="14">
        <f t="shared" si="0"/>
        <v>14</v>
      </c>
      <c r="C23" s="14" t="s">
        <v>65</v>
      </c>
      <c r="D23" s="32" t="s">
        <v>83</v>
      </c>
      <c r="E23" s="32" t="s">
        <v>95</v>
      </c>
    </row>
    <row r="24" spans="2:5" x14ac:dyDescent="0.2">
      <c r="B24" s="14">
        <f>B23+1</f>
        <v>15</v>
      </c>
      <c r="C24" s="14" t="s">
        <v>65</v>
      </c>
      <c r="D24" s="32" t="s">
        <v>84</v>
      </c>
      <c r="E24" s="31" t="s">
        <v>101</v>
      </c>
    </row>
    <row r="25" spans="2:5" x14ac:dyDescent="0.2">
      <c r="B25" s="14">
        <f t="shared" si="0"/>
        <v>16</v>
      </c>
      <c r="C25" s="14" t="s">
        <v>66</v>
      </c>
      <c r="D25" s="32" t="s">
        <v>85</v>
      </c>
      <c r="E25" s="31" t="s">
        <v>96</v>
      </c>
    </row>
    <row r="26" spans="2:5" x14ac:dyDescent="0.2">
      <c r="B26" s="14">
        <f t="shared" si="0"/>
        <v>17</v>
      </c>
      <c r="C26" s="14" t="s">
        <v>67</v>
      </c>
      <c r="D26" s="32" t="s">
        <v>86</v>
      </c>
      <c r="E26" s="32" t="s">
        <v>97</v>
      </c>
    </row>
    <row r="27" spans="2:5" x14ac:dyDescent="0.2">
      <c r="C27" s="24" t="s">
        <v>42</v>
      </c>
      <c r="D27" s="25"/>
      <c r="E27" s="20"/>
    </row>
  </sheetData>
  <mergeCells count="6">
    <mergeCell ref="D7:E7"/>
    <mergeCell ref="H1:J1"/>
    <mergeCell ref="B2:E2"/>
    <mergeCell ref="D4:E4"/>
    <mergeCell ref="D5:E5"/>
    <mergeCell ref="D6:E6"/>
  </mergeCells>
  <hyperlinks>
    <hyperlink ref="D10" r:id="rId1" display="vscode-file://vscode-app/Applications/Visual Studio Code.app/Contents/Resources/app/out/vs/code/electron-browser/workbench/workbench.html" xr:uid="{9A75EB00-E40C-4E42-8EBF-6E488B187E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B4E3"/>
  </sheetPr>
  <dimension ref="A1:J32"/>
  <sheetViews>
    <sheetView zoomScaleNormal="100" workbookViewId="0">
      <selection activeCell="H2" sqref="H2"/>
    </sheetView>
  </sheetViews>
  <sheetFormatPr baseColWidth="10" defaultColWidth="8.83203125" defaultRowHeight="15" x14ac:dyDescent="0.2"/>
  <cols>
    <col min="1" max="1" width="8.83203125" style="11"/>
    <col min="2" max="2" width="12.33203125" style="11" customWidth="1"/>
    <col min="3" max="3" width="16.33203125" style="11" customWidth="1"/>
    <col min="4" max="4" width="18" style="11" customWidth="1"/>
    <col min="5" max="5" width="41.5" style="11" customWidth="1"/>
    <col min="6" max="8" width="8.83203125" style="11"/>
    <col min="9" max="9" width="26.6640625" style="11" customWidth="1"/>
    <col min="10" max="16384" width="8.83203125" style="11"/>
  </cols>
  <sheetData>
    <row r="1" spans="1:10" ht="16" x14ac:dyDescent="0.2">
      <c r="A1" s="12"/>
      <c r="B1" s="13" t="s">
        <v>0</v>
      </c>
      <c r="H1" s="10" t="s">
        <v>1</v>
      </c>
      <c r="I1" s="10"/>
      <c r="J1" s="10"/>
    </row>
    <row r="2" spans="1:10" x14ac:dyDescent="0.2">
      <c r="B2" s="9" t="s">
        <v>46</v>
      </c>
      <c r="C2" s="9"/>
      <c r="D2" s="9"/>
      <c r="E2" s="9"/>
      <c r="H2" s="14"/>
      <c r="I2" s="14" t="s">
        <v>3</v>
      </c>
      <c r="J2" s="14" t="s">
        <v>4</v>
      </c>
    </row>
    <row r="3" spans="1:10" x14ac:dyDescent="0.2">
      <c r="H3" s="14" t="s">
        <v>5</v>
      </c>
      <c r="I3" s="14" t="s">
        <v>6</v>
      </c>
      <c r="J3" s="14" t="s">
        <v>7</v>
      </c>
    </row>
    <row r="4" spans="1:10" x14ac:dyDescent="0.2">
      <c r="C4" s="27" t="s">
        <v>8</v>
      </c>
      <c r="D4" s="3" t="s">
        <v>47</v>
      </c>
      <c r="E4" s="3"/>
      <c r="H4" s="14" t="s">
        <v>10</v>
      </c>
      <c r="I4" s="14" t="s">
        <v>11</v>
      </c>
      <c r="J4" s="14" t="s">
        <v>7</v>
      </c>
    </row>
    <row r="5" spans="1:10" x14ac:dyDescent="0.2">
      <c r="C5" s="27" t="s">
        <v>12</v>
      </c>
      <c r="D5" s="2" t="s">
        <v>48</v>
      </c>
      <c r="E5" s="2"/>
      <c r="H5" s="14" t="s">
        <v>14</v>
      </c>
      <c r="I5" s="14" t="s">
        <v>13</v>
      </c>
      <c r="J5" s="14" t="s">
        <v>7</v>
      </c>
    </row>
    <row r="6" spans="1:10" x14ac:dyDescent="0.2">
      <c r="B6" s="16"/>
      <c r="C6" s="17" t="s">
        <v>15</v>
      </c>
      <c r="D6" s="6"/>
      <c r="E6" s="6"/>
    </row>
    <row r="7" spans="1:10" x14ac:dyDescent="0.2">
      <c r="C7" s="17" t="s">
        <v>16</v>
      </c>
      <c r="D7" s="6"/>
      <c r="E7" s="6"/>
    </row>
    <row r="9" spans="1:10" x14ac:dyDescent="0.2">
      <c r="B9" s="18" t="s">
        <v>17</v>
      </c>
      <c r="C9" s="18" t="s">
        <v>18</v>
      </c>
      <c r="D9" s="18" t="s">
        <v>19</v>
      </c>
      <c r="E9" s="18" t="s">
        <v>20</v>
      </c>
    </row>
    <row r="10" spans="1:10" x14ac:dyDescent="0.2">
      <c r="B10" s="14">
        <v>1</v>
      </c>
      <c r="C10" s="20"/>
      <c r="D10" s="21"/>
      <c r="E10" s="21"/>
    </row>
    <row r="11" spans="1:10" x14ac:dyDescent="0.2">
      <c r="B11" s="14">
        <f t="shared" ref="B11:B30" si="0">B10+1</f>
        <v>2</v>
      </c>
      <c r="C11" s="20"/>
      <c r="D11" s="20"/>
      <c r="E11" s="21"/>
    </row>
    <row r="12" spans="1:10" x14ac:dyDescent="0.2">
      <c r="B12" s="14">
        <f t="shared" si="0"/>
        <v>3</v>
      </c>
      <c r="C12" s="20"/>
      <c r="D12" s="20"/>
      <c r="E12" s="21"/>
    </row>
    <row r="13" spans="1:10" x14ac:dyDescent="0.2">
      <c r="B13" s="14">
        <f t="shared" si="0"/>
        <v>4</v>
      </c>
      <c r="C13" s="20"/>
      <c r="D13" s="21"/>
      <c r="E13" s="21"/>
    </row>
    <row r="14" spans="1:10" x14ac:dyDescent="0.2">
      <c r="B14" s="14">
        <f t="shared" si="0"/>
        <v>5</v>
      </c>
      <c r="C14" s="20"/>
      <c r="D14" s="21"/>
      <c r="E14" s="21"/>
    </row>
    <row r="15" spans="1:10" x14ac:dyDescent="0.2">
      <c r="B15" s="14">
        <f t="shared" si="0"/>
        <v>6</v>
      </c>
      <c r="C15" s="20"/>
      <c r="D15" s="21"/>
      <c r="E15" s="21"/>
    </row>
    <row r="16" spans="1:10" x14ac:dyDescent="0.2">
      <c r="B16" s="14">
        <f t="shared" si="0"/>
        <v>7</v>
      </c>
      <c r="C16" s="20"/>
      <c r="D16" s="21"/>
      <c r="E16" s="21"/>
    </row>
    <row r="17" spans="2:5" x14ac:dyDescent="0.2">
      <c r="B17" s="14">
        <f t="shared" si="0"/>
        <v>8</v>
      </c>
      <c r="C17" s="20"/>
      <c r="D17" s="21"/>
      <c r="E17" s="21"/>
    </row>
    <row r="18" spans="2:5" x14ac:dyDescent="0.2">
      <c r="B18" s="14">
        <f t="shared" si="0"/>
        <v>9</v>
      </c>
      <c r="C18" s="20"/>
      <c r="D18" s="21"/>
      <c r="E18" s="21"/>
    </row>
    <row r="19" spans="2:5" x14ac:dyDescent="0.2">
      <c r="B19" s="14">
        <f t="shared" si="0"/>
        <v>10</v>
      </c>
      <c r="C19" s="20"/>
      <c r="D19" s="20"/>
      <c r="E19" s="21"/>
    </row>
    <row r="20" spans="2:5" x14ac:dyDescent="0.2">
      <c r="B20" s="14">
        <f t="shared" si="0"/>
        <v>11</v>
      </c>
      <c r="C20" s="20"/>
      <c r="D20" s="21"/>
      <c r="E20" s="21"/>
    </row>
    <row r="21" spans="2:5" x14ac:dyDescent="0.2">
      <c r="B21" s="14">
        <f t="shared" si="0"/>
        <v>12</v>
      </c>
      <c r="C21" s="20"/>
      <c r="D21" s="20"/>
      <c r="E21" s="21"/>
    </row>
    <row r="22" spans="2:5" x14ac:dyDescent="0.2">
      <c r="B22" s="14">
        <f t="shared" si="0"/>
        <v>13</v>
      </c>
      <c r="C22" s="20"/>
      <c r="D22" s="21"/>
      <c r="E22" s="21"/>
    </row>
    <row r="23" spans="2:5" x14ac:dyDescent="0.2">
      <c r="B23" s="14">
        <f t="shared" si="0"/>
        <v>14</v>
      </c>
      <c r="C23" s="20"/>
      <c r="D23" s="21"/>
      <c r="E23" s="21"/>
    </row>
    <row r="24" spans="2:5" x14ac:dyDescent="0.2">
      <c r="B24" s="14">
        <f t="shared" si="0"/>
        <v>15</v>
      </c>
      <c r="C24" s="20"/>
      <c r="D24" s="21"/>
      <c r="E24" s="21"/>
    </row>
    <row r="25" spans="2:5" x14ac:dyDescent="0.2">
      <c r="B25" s="14">
        <f t="shared" si="0"/>
        <v>16</v>
      </c>
      <c r="C25" s="20"/>
      <c r="D25" s="21"/>
      <c r="E25" s="21"/>
    </row>
    <row r="26" spans="2:5" x14ac:dyDescent="0.2">
      <c r="B26" s="14">
        <f t="shared" si="0"/>
        <v>17</v>
      </c>
      <c r="C26" s="20"/>
      <c r="D26" s="20"/>
      <c r="E26" s="21"/>
    </row>
    <row r="27" spans="2:5" x14ac:dyDescent="0.2">
      <c r="B27" s="14">
        <f t="shared" si="0"/>
        <v>18</v>
      </c>
      <c r="C27" s="20"/>
      <c r="D27" s="21"/>
      <c r="E27" s="20"/>
    </row>
    <row r="28" spans="2:5" x14ac:dyDescent="0.2">
      <c r="B28" s="14">
        <f t="shared" si="0"/>
        <v>19</v>
      </c>
      <c r="C28" s="20"/>
      <c r="D28" s="21"/>
      <c r="E28" s="21"/>
    </row>
    <row r="29" spans="2:5" x14ac:dyDescent="0.2">
      <c r="B29" s="14">
        <f t="shared" si="0"/>
        <v>20</v>
      </c>
      <c r="C29" s="20"/>
      <c r="D29" s="21"/>
      <c r="E29" s="21"/>
    </row>
    <row r="30" spans="2:5" x14ac:dyDescent="0.2">
      <c r="B30" s="14">
        <f t="shared" si="0"/>
        <v>21</v>
      </c>
      <c r="C30" s="20"/>
      <c r="D30" s="21"/>
      <c r="E30" s="21"/>
    </row>
    <row r="32" spans="2:5" x14ac:dyDescent="0.2">
      <c r="C32" s="24" t="s">
        <v>42</v>
      </c>
      <c r="D32" s="25"/>
      <c r="E32" s="20"/>
    </row>
  </sheetData>
  <mergeCells count="6">
    <mergeCell ref="D7:E7"/>
    <mergeCell ref="H1:J1"/>
    <mergeCell ref="B2:E2"/>
    <mergeCell ref="D4:E4"/>
    <mergeCell ref="D5:E5"/>
    <mergeCell ref="D6:E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BF1DE"/>
  </sheetPr>
  <dimension ref="A1:J32"/>
  <sheetViews>
    <sheetView zoomScaleNormal="100" workbookViewId="0">
      <selection activeCell="H2" sqref="H2"/>
    </sheetView>
  </sheetViews>
  <sheetFormatPr baseColWidth="10" defaultColWidth="8.83203125" defaultRowHeight="15" x14ac:dyDescent="0.2"/>
  <cols>
    <col min="1" max="1" width="8.83203125" style="11"/>
    <col min="2" max="2" width="12.33203125" style="11" customWidth="1"/>
    <col min="3" max="3" width="16.33203125" style="11" customWidth="1"/>
    <col min="4" max="4" width="18" style="11" customWidth="1"/>
    <col min="5" max="5" width="23.83203125" style="11" customWidth="1"/>
    <col min="6" max="6" width="16.6640625" style="11" customWidth="1"/>
    <col min="7" max="8" width="8.83203125" style="11"/>
    <col min="9" max="9" width="26.6640625" style="11" customWidth="1"/>
    <col min="10" max="16384" width="8.83203125" style="11"/>
  </cols>
  <sheetData>
    <row r="1" spans="1:10" ht="16" x14ac:dyDescent="0.2">
      <c r="A1" s="12"/>
      <c r="B1" s="13" t="s">
        <v>0</v>
      </c>
      <c r="H1" s="10" t="s">
        <v>1</v>
      </c>
      <c r="I1" s="10"/>
      <c r="J1" s="10"/>
    </row>
    <row r="2" spans="1:10" x14ac:dyDescent="0.2">
      <c r="B2" s="9" t="s">
        <v>49</v>
      </c>
      <c r="C2" s="9"/>
      <c r="D2" s="9"/>
      <c r="E2" s="9"/>
      <c r="H2" s="14"/>
      <c r="I2" s="14" t="s">
        <v>3</v>
      </c>
      <c r="J2" s="14" t="s">
        <v>4</v>
      </c>
    </row>
    <row r="3" spans="1:10" x14ac:dyDescent="0.2">
      <c r="H3" s="14" t="s">
        <v>5</v>
      </c>
      <c r="I3" s="14" t="s">
        <v>6</v>
      </c>
      <c r="J3" s="14" t="s">
        <v>7</v>
      </c>
    </row>
    <row r="4" spans="1:10" x14ac:dyDescent="0.2">
      <c r="C4" s="27" t="s">
        <v>50</v>
      </c>
      <c r="D4" s="3"/>
      <c r="E4" s="3"/>
      <c r="H4" s="14" t="s">
        <v>10</v>
      </c>
      <c r="I4" s="14" t="s">
        <v>11</v>
      </c>
      <c r="J4" s="14" t="s">
        <v>7</v>
      </c>
    </row>
    <row r="5" spans="1:10" x14ac:dyDescent="0.2">
      <c r="C5" s="17" t="s">
        <v>15</v>
      </c>
      <c r="D5" s="6"/>
      <c r="E5" s="6"/>
      <c r="H5" s="14" t="s">
        <v>14</v>
      </c>
      <c r="I5" s="14" t="s">
        <v>13</v>
      </c>
      <c r="J5" s="14" t="s">
        <v>7</v>
      </c>
    </row>
    <row r="6" spans="1:10" x14ac:dyDescent="0.2">
      <c r="B6" s="16"/>
      <c r="C6" s="17" t="s">
        <v>16</v>
      </c>
      <c r="D6" s="6"/>
      <c r="E6" s="6"/>
    </row>
    <row r="9" spans="1:10" x14ac:dyDescent="0.2">
      <c r="B9" s="18" t="s">
        <v>17</v>
      </c>
      <c r="C9" s="18" t="s">
        <v>51</v>
      </c>
      <c r="D9" s="18" t="s">
        <v>52</v>
      </c>
      <c r="E9" s="18" t="s">
        <v>53</v>
      </c>
      <c r="F9" s="18" t="s">
        <v>54</v>
      </c>
    </row>
    <row r="10" spans="1:10" x14ac:dyDescent="0.2">
      <c r="B10" s="14">
        <v>1</v>
      </c>
      <c r="C10" s="20"/>
      <c r="D10" s="21"/>
      <c r="E10" s="21"/>
      <c r="F10" s="21"/>
    </row>
    <row r="11" spans="1:10" x14ac:dyDescent="0.2">
      <c r="B11" s="14">
        <f t="shared" ref="B11:B30" si="0">B10+1</f>
        <v>2</v>
      </c>
      <c r="C11" s="20"/>
      <c r="D11" s="20"/>
      <c r="E11" s="21"/>
      <c r="F11" s="21"/>
    </row>
    <row r="12" spans="1:10" x14ac:dyDescent="0.2">
      <c r="B12" s="14">
        <f t="shared" si="0"/>
        <v>3</v>
      </c>
      <c r="C12" s="20"/>
      <c r="D12" s="20"/>
      <c r="E12" s="21"/>
      <c r="F12" s="21"/>
    </row>
    <row r="13" spans="1:10" x14ac:dyDescent="0.2">
      <c r="B13" s="14">
        <f t="shared" si="0"/>
        <v>4</v>
      </c>
      <c r="C13" s="20"/>
      <c r="D13" s="21"/>
      <c r="E13" s="21"/>
      <c r="F13" s="21"/>
    </row>
    <row r="14" spans="1:10" x14ac:dyDescent="0.2">
      <c r="B14" s="14">
        <f t="shared" si="0"/>
        <v>5</v>
      </c>
      <c r="C14" s="20"/>
      <c r="D14" s="21"/>
      <c r="E14" s="21"/>
      <c r="F14" s="21"/>
    </row>
    <row r="15" spans="1:10" x14ac:dyDescent="0.2">
      <c r="B15" s="14">
        <f t="shared" si="0"/>
        <v>6</v>
      </c>
      <c r="C15" s="20"/>
      <c r="D15" s="21"/>
      <c r="E15" s="21"/>
      <c r="F15" s="21"/>
    </row>
    <row r="16" spans="1:10" x14ac:dyDescent="0.2">
      <c r="B16" s="14">
        <f t="shared" si="0"/>
        <v>7</v>
      </c>
      <c r="C16" s="20"/>
      <c r="D16" s="21"/>
      <c r="E16" s="21"/>
      <c r="F16" s="21"/>
    </row>
    <row r="17" spans="2:6" x14ac:dyDescent="0.2">
      <c r="B17" s="14">
        <f t="shared" si="0"/>
        <v>8</v>
      </c>
      <c r="C17" s="20"/>
      <c r="D17" s="21"/>
      <c r="E17" s="21"/>
      <c r="F17" s="21"/>
    </row>
    <row r="18" spans="2:6" x14ac:dyDescent="0.2">
      <c r="B18" s="14">
        <f t="shared" si="0"/>
        <v>9</v>
      </c>
      <c r="C18" s="20"/>
      <c r="D18" s="21"/>
      <c r="E18" s="21"/>
      <c r="F18" s="21"/>
    </row>
    <row r="19" spans="2:6" x14ac:dyDescent="0.2">
      <c r="B19" s="14">
        <f t="shared" si="0"/>
        <v>10</v>
      </c>
      <c r="C19" s="20"/>
      <c r="D19" s="20"/>
      <c r="E19" s="21"/>
      <c r="F19" s="21"/>
    </row>
    <row r="20" spans="2:6" x14ac:dyDescent="0.2">
      <c r="B20" s="14">
        <f t="shared" si="0"/>
        <v>11</v>
      </c>
      <c r="C20" s="20"/>
      <c r="D20" s="21"/>
      <c r="E20" s="21"/>
      <c r="F20" s="21"/>
    </row>
    <row r="21" spans="2:6" x14ac:dyDescent="0.2">
      <c r="B21" s="14">
        <f t="shared" si="0"/>
        <v>12</v>
      </c>
      <c r="C21" s="20"/>
      <c r="D21" s="20"/>
      <c r="E21" s="21"/>
      <c r="F21" s="21"/>
    </row>
    <row r="22" spans="2:6" x14ac:dyDescent="0.2">
      <c r="B22" s="14">
        <f t="shared" si="0"/>
        <v>13</v>
      </c>
      <c r="C22" s="20"/>
      <c r="D22" s="21"/>
      <c r="E22" s="21"/>
      <c r="F22" s="21"/>
    </row>
    <row r="23" spans="2:6" x14ac:dyDescent="0.2">
      <c r="B23" s="14">
        <f t="shared" si="0"/>
        <v>14</v>
      </c>
      <c r="C23" s="20"/>
      <c r="D23" s="21"/>
      <c r="E23" s="21"/>
      <c r="F23" s="21"/>
    </row>
    <row r="24" spans="2:6" x14ac:dyDescent="0.2">
      <c r="B24" s="14">
        <f t="shared" si="0"/>
        <v>15</v>
      </c>
      <c r="C24" s="20"/>
      <c r="D24" s="21"/>
      <c r="E24" s="21"/>
      <c r="F24" s="21"/>
    </row>
    <row r="25" spans="2:6" x14ac:dyDescent="0.2">
      <c r="B25" s="14">
        <f t="shared" si="0"/>
        <v>16</v>
      </c>
      <c r="C25" s="20"/>
      <c r="D25" s="21"/>
      <c r="E25" s="21"/>
      <c r="F25" s="21"/>
    </row>
    <row r="26" spans="2:6" x14ac:dyDescent="0.2">
      <c r="B26" s="14">
        <f t="shared" si="0"/>
        <v>17</v>
      </c>
      <c r="C26" s="20"/>
      <c r="D26" s="20"/>
      <c r="E26" s="21"/>
      <c r="F26" s="21"/>
    </row>
    <row r="27" spans="2:6" x14ac:dyDescent="0.2">
      <c r="B27" s="14">
        <f t="shared" si="0"/>
        <v>18</v>
      </c>
      <c r="C27" s="20"/>
      <c r="D27" s="21"/>
      <c r="E27" s="20"/>
      <c r="F27" s="20"/>
    </row>
    <row r="28" spans="2:6" x14ac:dyDescent="0.2">
      <c r="B28" s="14">
        <f t="shared" si="0"/>
        <v>19</v>
      </c>
      <c r="C28" s="20"/>
      <c r="D28" s="21"/>
      <c r="E28" s="21"/>
      <c r="F28" s="21"/>
    </row>
    <row r="29" spans="2:6" x14ac:dyDescent="0.2">
      <c r="B29" s="14">
        <f t="shared" si="0"/>
        <v>20</v>
      </c>
      <c r="C29" s="20"/>
      <c r="D29" s="21"/>
      <c r="E29" s="21"/>
      <c r="F29" s="21"/>
    </row>
    <row r="30" spans="2:6" x14ac:dyDescent="0.2">
      <c r="B30" s="14">
        <f t="shared" si="0"/>
        <v>21</v>
      </c>
      <c r="C30" s="20"/>
      <c r="D30" s="21"/>
      <c r="E30" s="21"/>
      <c r="F30" s="21"/>
    </row>
    <row r="32" spans="2:6" x14ac:dyDescent="0.2">
      <c r="C32" s="1" t="s">
        <v>55</v>
      </c>
      <c r="D32" s="1"/>
      <c r="E32" s="1"/>
      <c r="F32" s="28"/>
    </row>
  </sheetData>
  <mergeCells count="6">
    <mergeCell ref="C32:E32"/>
    <mergeCell ref="H1:J1"/>
    <mergeCell ref="B2:E2"/>
    <mergeCell ref="D4:E4"/>
    <mergeCell ref="D5:E5"/>
    <mergeCell ref="D6:E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Andreea</dc:creator>
  <dc:description/>
  <cp:lastModifiedBy>MIHAI-ALEXANDRU HULUBEAC</cp:lastModifiedBy>
  <cp:revision>1</cp:revision>
  <dcterms:created xsi:type="dcterms:W3CDTF">2015-02-21T15:59:19Z</dcterms:created>
  <dcterms:modified xsi:type="dcterms:W3CDTF">2026-03-06T08:15:36Z</dcterms:modified>
  <dc:language>en-GB</dc:language>
</cp:coreProperties>
</file>